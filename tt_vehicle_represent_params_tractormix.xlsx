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NOVO\PycharmProjects\pythonProjectECD\leakage\baseleakage - 2020-2024calibration\"/>
    </mc:Choice>
  </mc:AlternateContent>
  <xr:revisionPtr revIDLastSave="0" documentId="13_ncr:1_{604B0B0E-B703-453F-A167-8BF5B6DE564E}" xr6:coauthVersionLast="47" xr6:coauthVersionMax="47" xr10:uidLastSave="{00000000-0000-0000-0000-000000000000}"/>
  <bookViews>
    <workbookView xWindow="2544" yWindow="2520" windowWidth="21468" windowHeight="13980" firstSheet="3" activeTab="6" xr2:uid="{B00B6DD0-5767-49CF-9606-6C4FE3D81302}"/>
  </bookViews>
  <sheets>
    <sheet name="Sheet1" sheetId="1" r:id="rId1"/>
    <sheet name="salary" sheetId="3" r:id="rId2"/>
    <sheet name="charging_prob" sheetId="4" r:id="rId3"/>
    <sheet name="target_ptprobs_l" sheetId="6" r:id="rId4"/>
    <sheet name="target_ptprobs_m" sheetId="9" r:id="rId5"/>
    <sheet name="Target_Probability_l" sheetId="7" r:id="rId6"/>
    <sheet name="Target_Probability_m" sheetId="11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7" l="1"/>
  <c r="C8" i="9" l="1"/>
  <c r="C7" i="9"/>
  <c r="C6" i="9"/>
  <c r="C5" i="9"/>
</calcChain>
</file>

<file path=xl/sharedStrings.xml><?xml version="1.0" encoding="utf-8"?>
<sst xmlns="http://schemas.openxmlformats.org/spreadsheetml/2006/main" count="196" uniqueCount="117">
  <si>
    <t>车型</t>
    <phoneticPr fontId="1" type="noConversion"/>
  </si>
  <si>
    <t>代表电车</t>
    <phoneticPr fontId="1" type="noConversion"/>
  </si>
  <si>
    <t>代表油车</t>
    <phoneticPr fontId="1" type="noConversion"/>
  </si>
  <si>
    <t>运输场景（举例）</t>
    <phoneticPr fontId="1" type="noConversion"/>
  </si>
  <si>
    <t>DFA5030XXYMBEV1</t>
    <phoneticPr fontId="1" type="noConversion"/>
  </si>
  <si>
    <t>多用途 短里程 同城微型物流</t>
    <phoneticPr fontId="1" type="noConversion"/>
  </si>
  <si>
    <t>minivan</t>
    <phoneticPr fontId="1" type="noConversion"/>
  </si>
  <si>
    <t>DFA5040XXYEBEV</t>
    <phoneticPr fontId="1" type="noConversion"/>
  </si>
  <si>
    <t>轻抛货 同城 短里程（日用品）</t>
    <phoneticPr fontId="1" type="noConversion"/>
  </si>
  <si>
    <t>l_truck_lws</t>
    <phoneticPr fontId="1" type="noConversion"/>
  </si>
  <si>
    <t>轻抛货 同城 中等里程（日用品）</t>
    <phoneticPr fontId="1" type="noConversion"/>
  </si>
  <si>
    <t>l_truck_lwm</t>
    <phoneticPr fontId="1" type="noConversion"/>
  </si>
  <si>
    <t>轻抛货 同城 长里程（快递）</t>
    <phoneticPr fontId="1" type="noConversion"/>
  </si>
  <si>
    <t>l_truck_lwl</t>
    <phoneticPr fontId="1" type="noConversion"/>
  </si>
  <si>
    <t>重货 城际 短里程（饮品）</t>
    <phoneticPr fontId="1" type="noConversion"/>
  </si>
  <si>
    <t>l_truck_hws</t>
    <phoneticPr fontId="1" type="noConversion"/>
  </si>
  <si>
    <t>重货 城际 中里程（饮品）</t>
    <phoneticPr fontId="1" type="noConversion"/>
  </si>
  <si>
    <t>l_truck_hwm</t>
    <phoneticPr fontId="1" type="noConversion"/>
  </si>
  <si>
    <t>重货 城际 长里程（饮品）</t>
    <phoneticPr fontId="1" type="noConversion"/>
  </si>
  <si>
    <t>l_truck_hwl</t>
    <phoneticPr fontId="1" type="noConversion"/>
  </si>
  <si>
    <t>QL5070XXYBEVECHA2</t>
    <phoneticPr fontId="1" type="noConversion"/>
  </si>
  <si>
    <t>轻抛货 城际 中途（网点到分拨中心，快递，日用品）</t>
    <phoneticPr fontId="1" type="noConversion"/>
  </si>
  <si>
    <t>m_truck_lwm</t>
    <phoneticPr fontId="1" type="noConversion"/>
  </si>
  <si>
    <t>HFC5065XLCEV1</t>
    <phoneticPr fontId="1" type="noConversion"/>
  </si>
  <si>
    <t>中型货 城际 冷链中长途（农林牧渔医药）</t>
    <phoneticPr fontId="1" type="noConversion"/>
  </si>
  <si>
    <t>m_truck_lwl</t>
    <phoneticPr fontId="1" type="noConversion"/>
  </si>
  <si>
    <t>重型货 城际 中途（搬家，家具家电）</t>
    <phoneticPr fontId="1" type="noConversion"/>
  </si>
  <si>
    <t>m_truck_hwm</t>
    <phoneticPr fontId="1" type="noConversion"/>
  </si>
  <si>
    <t>重型货 城际 长途（家具家电）</t>
    <phoneticPr fontId="1" type="noConversion"/>
  </si>
  <si>
    <t>m_truck_hwl</t>
    <phoneticPr fontId="1" type="noConversion"/>
  </si>
  <si>
    <t>短途 农产品 绿通</t>
    <phoneticPr fontId="1" type="noConversion"/>
  </si>
  <si>
    <t>m_truck_hws</t>
    <phoneticPr fontId="1" type="noConversion"/>
  </si>
  <si>
    <t>CA5180XXYP62L4BEV</t>
    <phoneticPr fontId="1" type="noConversion"/>
  </si>
  <si>
    <t>轻抛货 中途（网点到分拨中心）</t>
    <phoneticPr fontId="1" type="noConversion"/>
  </si>
  <si>
    <t>h_truck_lwm</t>
    <phoneticPr fontId="1" type="noConversion"/>
  </si>
  <si>
    <t>轻抛货 长途（仓储运输）</t>
    <phoneticPr fontId="1" type="noConversion"/>
  </si>
  <si>
    <t>h_truck_lwl</t>
    <phoneticPr fontId="1" type="noConversion"/>
  </si>
  <si>
    <t>重货 城际 长里程（设备）</t>
    <phoneticPr fontId="1" type="noConversion"/>
  </si>
  <si>
    <t>h_truck_hwl</t>
    <phoneticPr fontId="1" type="noConversion"/>
  </si>
  <si>
    <t>短途 （集疏港运输）</t>
    <phoneticPr fontId="1" type="noConversion"/>
  </si>
  <si>
    <t>h_truck_hws</t>
    <phoneticPr fontId="1" type="noConversion"/>
  </si>
  <si>
    <t>中短途 农产品 绿通</t>
    <phoneticPr fontId="1" type="noConversion"/>
  </si>
  <si>
    <t>h_truck_hwm</t>
    <phoneticPr fontId="1" type="noConversion"/>
  </si>
  <si>
    <t>h_trailer_hwl</t>
    <phoneticPr fontId="1" type="noConversion"/>
  </si>
  <si>
    <t>BJ4259EVPA1</t>
    <phoneticPr fontId="1" type="noConversion"/>
  </si>
  <si>
    <t>同城 短途 干线物流</t>
    <phoneticPr fontId="1" type="noConversion"/>
  </si>
  <si>
    <t>h_trailer_hws</t>
    <phoneticPr fontId="1" type="noConversion"/>
  </si>
  <si>
    <t>SYM42503S1BEV2</t>
    <phoneticPr fontId="1" type="noConversion"/>
  </si>
  <si>
    <t>城际 长途 干线运输</t>
    <phoneticPr fontId="1" type="noConversion"/>
  </si>
  <si>
    <t>h_trailer_hwm</t>
    <phoneticPr fontId="1" type="noConversion"/>
  </si>
  <si>
    <t>载货量</t>
    <phoneticPr fontId="1" type="noConversion"/>
  </si>
  <si>
    <t>A</t>
    <phoneticPr fontId="1" type="noConversion"/>
  </si>
  <si>
    <t>B</t>
    <phoneticPr fontId="1" type="noConversion"/>
  </si>
  <si>
    <t>续航里程</t>
    <phoneticPr fontId="1" type="noConversion"/>
  </si>
  <si>
    <t>黑龙江</t>
  </si>
  <si>
    <t>吉林</t>
  </si>
  <si>
    <t>辽宁</t>
  </si>
  <si>
    <t>北京</t>
  </si>
  <si>
    <t>天津</t>
  </si>
  <si>
    <t>河北</t>
  </si>
  <si>
    <t>山西</t>
  </si>
  <si>
    <t>内蒙古</t>
  </si>
  <si>
    <t>新疆</t>
  </si>
  <si>
    <t>甘肃</t>
  </si>
  <si>
    <t>陕西</t>
  </si>
  <si>
    <t>宁夏</t>
  </si>
  <si>
    <t>青海</t>
  </si>
  <si>
    <t>河南</t>
  </si>
  <si>
    <t>湖北</t>
  </si>
  <si>
    <t>湖南</t>
  </si>
  <si>
    <t>上海</t>
  </si>
  <si>
    <t>江苏</t>
  </si>
  <si>
    <t>浙江</t>
  </si>
  <si>
    <t>山东</t>
  </si>
  <si>
    <t>安徽</t>
  </si>
  <si>
    <t>福建</t>
  </si>
  <si>
    <t>江西</t>
  </si>
  <si>
    <t>四川</t>
  </si>
  <si>
    <t>云南</t>
  </si>
  <si>
    <t>重庆</t>
  </si>
  <si>
    <t>贵州</t>
  </si>
  <si>
    <t>西藏</t>
  </si>
  <si>
    <t>广西</t>
  </si>
  <si>
    <t>广东</t>
  </si>
  <si>
    <t>海南</t>
  </si>
  <si>
    <t>DICE</t>
  </si>
  <si>
    <t>MICE</t>
  </si>
  <si>
    <t>NGICE</t>
  </si>
  <si>
    <t>FCEV</t>
  </si>
  <si>
    <t>PHEV</t>
  </si>
  <si>
    <t>FCPHEV</t>
    <phoneticPr fontId="1" type="noConversion"/>
  </si>
  <si>
    <t>H2ICE35</t>
    <phoneticPr fontId="1" type="noConversion"/>
  </si>
  <si>
    <t>NH3ICE</t>
    <phoneticPr fontId="1" type="noConversion"/>
  </si>
  <si>
    <t>HNICE</t>
    <phoneticPr fontId="1" type="noConversion"/>
  </si>
  <si>
    <t>H2ICE70</t>
    <phoneticPr fontId="1" type="noConversion"/>
  </si>
  <si>
    <t>传统车型</t>
    <phoneticPr fontId="1" type="noConversion"/>
  </si>
  <si>
    <t>电动车型</t>
    <phoneticPr fontId="1" type="noConversion"/>
  </si>
  <si>
    <t>混动车型</t>
    <phoneticPr fontId="1" type="noConversion"/>
  </si>
  <si>
    <t>低碳车型</t>
    <phoneticPr fontId="1" type="noConversion"/>
  </si>
  <si>
    <t>BEVF282</t>
    <phoneticPr fontId="1" type="noConversion"/>
  </si>
  <si>
    <t>BEVE282</t>
    <phoneticPr fontId="1" type="noConversion"/>
  </si>
  <si>
    <t>BEVU729</t>
    <phoneticPr fontId="1" type="noConversion"/>
  </si>
  <si>
    <t>BEVF282</t>
  </si>
  <si>
    <t>BEVF423</t>
  </si>
  <si>
    <t>BEVE282</t>
  </si>
  <si>
    <t>BEVF729</t>
  </si>
  <si>
    <t>BEVE512</t>
  </si>
  <si>
    <t>ELPHEV</t>
    <phoneticPr fontId="1" type="noConversion"/>
  </si>
  <si>
    <t>EDPHEV</t>
    <phoneticPr fontId="1" type="noConversion"/>
  </si>
  <si>
    <t>EDICE</t>
    <phoneticPr fontId="1" type="noConversion"/>
  </si>
  <si>
    <t>ELICE</t>
    <phoneticPr fontId="1" type="noConversion"/>
  </si>
  <si>
    <t>BEVF510</t>
    <phoneticPr fontId="1" type="noConversion"/>
  </si>
  <si>
    <t>BEVF730</t>
    <phoneticPr fontId="1" type="noConversion"/>
  </si>
  <si>
    <t>BEVE510</t>
    <phoneticPr fontId="1" type="noConversion"/>
  </si>
  <si>
    <t>BEVF900</t>
    <phoneticPr fontId="1" type="noConversion"/>
  </si>
  <si>
    <t>BEVF600</t>
    <phoneticPr fontId="1" type="noConversion"/>
  </si>
  <si>
    <t>BEVF800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</si>
</sst>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_);[Red]\(0\)"/>
    <numFmt numFmtId="177" formatCode="0.0000"/>
    <numFmt numFmtId="178" formatCode="0.000000"/>
    <numFmt numFmtId="181" formatCode="0.00_);[Red]\(0.00\)"/>
    <numFmt numFmtId="182" formatCode="0.000_);[Red]\(0.000\)"/>
    <numFmt numFmtId="183" formatCode="0.0000_);[Red]\(0.0000\)"/>
  </numFmts>
  <fonts count="7">
    <font>
      <sz val="11"/>
      <color theme="1"/>
      <name val="微软雅黑"/>
      <family val="2"/>
      <charset val="134"/>
    </font>
    <font>
      <sz val="9"/>
      <name val="微软雅黑"/>
      <family val="2"/>
      <charset val="134"/>
    </font>
    <font>
      <sz val="11"/>
      <color rgb="FF303030"/>
      <name val="微软雅黑"/>
      <family val="2"/>
      <charset val="134"/>
    </font>
    <font>
      <sz val="18"/>
      <color rgb="FF2AACB8"/>
      <name val="Times New Roman"/>
      <family val="1"/>
    </font>
    <font>
      <sz val="11"/>
      <color theme="1"/>
      <name val="微软雅黑"/>
      <family val="2"/>
      <charset val="134"/>
    </font>
    <font>
      <sz val="18"/>
      <name val="Times New Roman"/>
      <family val="1"/>
    </font>
    <font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Alignment="1"/>
    <xf numFmtId="177" fontId="0" fillId="0" borderId="0" xfId="0" applyNumberFormat="1">
      <alignment vertical="center"/>
    </xf>
    <xf numFmtId="178" fontId="3" fillId="0" borderId="0" xfId="0" applyNumberFormat="1" applyFont="1">
      <alignment vertical="center"/>
    </xf>
    <xf numFmtId="181" fontId="3" fillId="0" borderId="0" xfId="0" applyNumberFormat="1" applyFont="1">
      <alignment vertical="center"/>
    </xf>
    <xf numFmtId="181" fontId="0" fillId="0" borderId="0" xfId="0" applyNumberFormat="1">
      <alignment vertical="center"/>
    </xf>
    <xf numFmtId="182" fontId="5" fillId="0" borderId="0" xfId="0" applyNumberFormat="1" applyFont="1">
      <alignment vertical="center"/>
    </xf>
    <xf numFmtId="182" fontId="6" fillId="0" borderId="1" xfId="1" applyNumberFormat="1" applyFont="1" applyFill="1" applyBorder="1" applyAlignment="1">
      <alignment horizontal="center"/>
    </xf>
    <xf numFmtId="183" fontId="5" fillId="0" borderId="0" xfId="0" applyNumberFormat="1" applyFont="1">
      <alignment vertical="center"/>
    </xf>
    <xf numFmtId="183" fontId="6" fillId="0" borderId="1" xfId="1" applyNumberFormat="1" applyFont="1" applyFill="1" applyBorder="1" applyAlignment="1">
      <alignment horizontal="center"/>
    </xf>
    <xf numFmtId="182" fontId="6" fillId="0" borderId="0" xfId="1" applyNumberFormat="1" applyFont="1" applyFill="1" applyBorder="1" applyAlignment="1">
      <alignment horizontal="center"/>
    </xf>
    <xf numFmtId="1" fontId="0" fillId="0" borderId="0" xfId="0" applyNumberFormat="1">
      <alignment vertical="center"/>
    </xf>
    <xf numFmtId="177" fontId="5" fillId="0" borderId="0" xfId="0" applyNumberFormat="1" applyFont="1">
      <alignment vertical="center"/>
    </xf>
    <xf numFmtId="177" fontId="6" fillId="0" borderId="1" xfId="1" applyNumberFormat="1" applyFont="1" applyFill="1" applyBorder="1" applyAlignment="1">
      <alignment horizontal="center"/>
    </xf>
    <xf numFmtId="182" fontId="3" fillId="0" borderId="0" xfId="0" applyNumberFormat="1" applyFont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056C3-B544-4459-9AC1-0C1CF6424357}">
  <sheetPr codeName="Sheet1"/>
  <dimension ref="A1:F20"/>
  <sheetViews>
    <sheetView zoomScaleNormal="100" workbookViewId="0">
      <selection activeCell="B33" sqref="B33"/>
    </sheetView>
  </sheetViews>
  <sheetFormatPr defaultRowHeight="15.6"/>
  <cols>
    <col min="1" max="1" width="12.54296875" customWidth="1"/>
    <col min="2" max="2" width="39.6328125" customWidth="1"/>
    <col min="4" max="4" width="18.54296875" customWidth="1"/>
    <col min="5" max="5" width="10.453125" customWidth="1"/>
  </cols>
  <sheetData>
    <row r="1" spans="1:6">
      <c r="A1" s="1" t="s">
        <v>0</v>
      </c>
      <c r="B1" s="1" t="s">
        <v>3</v>
      </c>
      <c r="C1" s="2" t="s">
        <v>50</v>
      </c>
      <c r="D1" s="1" t="s">
        <v>1</v>
      </c>
      <c r="E1" s="1" t="s">
        <v>2</v>
      </c>
      <c r="F1" s="1" t="s">
        <v>53</v>
      </c>
    </row>
    <row r="2" spans="1:6">
      <c r="A2" s="1" t="s">
        <v>6</v>
      </c>
      <c r="B2" s="1" t="s">
        <v>5</v>
      </c>
      <c r="C2" s="1">
        <v>0.5</v>
      </c>
      <c r="D2" s="3" t="s">
        <v>4</v>
      </c>
      <c r="E2" s="1" t="s">
        <v>52</v>
      </c>
      <c r="F2">
        <v>150</v>
      </c>
    </row>
    <row r="3" spans="1:6">
      <c r="A3" s="1" t="s">
        <v>9</v>
      </c>
      <c r="B3" s="1" t="s">
        <v>8</v>
      </c>
      <c r="C3" s="1">
        <v>1</v>
      </c>
      <c r="D3" s="1" t="s">
        <v>7</v>
      </c>
      <c r="E3" s="1" t="s">
        <v>52</v>
      </c>
      <c r="F3">
        <v>120</v>
      </c>
    </row>
    <row r="4" spans="1:6">
      <c r="A4" s="1" t="s">
        <v>11</v>
      </c>
      <c r="B4" s="1" t="s">
        <v>10</v>
      </c>
      <c r="C4" s="1">
        <v>1</v>
      </c>
      <c r="D4" s="1" t="s">
        <v>51</v>
      </c>
      <c r="E4" s="1" t="s">
        <v>52</v>
      </c>
      <c r="F4">
        <v>120</v>
      </c>
    </row>
    <row r="5" spans="1:6">
      <c r="A5" s="1" t="s">
        <v>13</v>
      </c>
      <c r="B5" s="1" t="s">
        <v>12</v>
      </c>
      <c r="C5" s="1">
        <v>1</v>
      </c>
      <c r="D5" s="1" t="s">
        <v>51</v>
      </c>
      <c r="E5" s="1" t="s">
        <v>52</v>
      </c>
      <c r="F5">
        <v>200</v>
      </c>
    </row>
    <row r="6" spans="1:6">
      <c r="A6" s="1" t="s">
        <v>15</v>
      </c>
      <c r="B6" s="1" t="s">
        <v>14</v>
      </c>
      <c r="C6" s="1">
        <v>2</v>
      </c>
      <c r="D6" s="1" t="s">
        <v>51</v>
      </c>
      <c r="E6" s="1" t="s">
        <v>52</v>
      </c>
      <c r="F6">
        <v>150</v>
      </c>
    </row>
    <row r="7" spans="1:6">
      <c r="A7" s="1" t="s">
        <v>17</v>
      </c>
      <c r="B7" s="1" t="s">
        <v>16</v>
      </c>
      <c r="C7" s="1">
        <v>2</v>
      </c>
      <c r="D7" s="1" t="s">
        <v>51</v>
      </c>
      <c r="E7" s="1" t="s">
        <v>52</v>
      </c>
      <c r="F7">
        <v>100</v>
      </c>
    </row>
    <row r="8" spans="1:6">
      <c r="A8" s="1" t="s">
        <v>19</v>
      </c>
      <c r="B8" s="1" t="s">
        <v>18</v>
      </c>
      <c r="C8" s="1">
        <v>2</v>
      </c>
      <c r="D8" s="1" t="s">
        <v>51</v>
      </c>
      <c r="E8" s="1" t="s">
        <v>52</v>
      </c>
      <c r="F8">
        <v>120</v>
      </c>
    </row>
    <row r="9" spans="1:6">
      <c r="A9" s="1" t="s">
        <v>22</v>
      </c>
      <c r="B9" s="1" t="s">
        <v>21</v>
      </c>
      <c r="C9" s="1">
        <v>3</v>
      </c>
      <c r="D9" s="1" t="s">
        <v>20</v>
      </c>
      <c r="E9" s="1" t="s">
        <v>52</v>
      </c>
      <c r="F9">
        <v>250</v>
      </c>
    </row>
    <row r="10" spans="1:6">
      <c r="A10" s="1" t="s">
        <v>25</v>
      </c>
      <c r="B10" s="1" t="s">
        <v>24</v>
      </c>
      <c r="C10" s="1">
        <v>3</v>
      </c>
      <c r="D10" s="1" t="s">
        <v>23</v>
      </c>
      <c r="E10" s="1" t="s">
        <v>52</v>
      </c>
      <c r="F10">
        <v>240</v>
      </c>
    </row>
    <row r="11" spans="1:6">
      <c r="A11" s="1" t="s">
        <v>27</v>
      </c>
      <c r="B11" s="1" t="s">
        <v>26</v>
      </c>
      <c r="C11" s="1">
        <v>3</v>
      </c>
      <c r="D11" s="1" t="s">
        <v>51</v>
      </c>
      <c r="E11" s="1" t="s">
        <v>52</v>
      </c>
      <c r="F11">
        <v>250</v>
      </c>
    </row>
    <row r="12" spans="1:6">
      <c r="A12" s="1" t="s">
        <v>29</v>
      </c>
      <c r="B12" s="1" t="s">
        <v>28</v>
      </c>
      <c r="C12" s="1">
        <v>3</v>
      </c>
      <c r="D12" s="1" t="s">
        <v>51</v>
      </c>
      <c r="E12" s="1" t="s">
        <v>52</v>
      </c>
      <c r="F12">
        <v>230</v>
      </c>
    </row>
    <row r="13" spans="1:6">
      <c r="A13" s="1" t="s">
        <v>31</v>
      </c>
      <c r="B13" s="1" t="s">
        <v>30</v>
      </c>
      <c r="C13" s="1">
        <v>3</v>
      </c>
      <c r="D13" s="1" t="s">
        <v>51</v>
      </c>
      <c r="E13" s="1" t="s">
        <v>52</v>
      </c>
      <c r="F13">
        <v>240</v>
      </c>
    </row>
    <row r="14" spans="1:6">
      <c r="A14" s="1" t="s">
        <v>34</v>
      </c>
      <c r="B14" s="1" t="s">
        <v>33</v>
      </c>
      <c r="C14" s="1">
        <v>7</v>
      </c>
      <c r="D14" s="1" t="s">
        <v>32</v>
      </c>
      <c r="E14" s="1" t="s">
        <v>52</v>
      </c>
      <c r="F14">
        <v>200</v>
      </c>
    </row>
    <row r="15" spans="1:6">
      <c r="A15" s="1" t="s">
        <v>36</v>
      </c>
      <c r="B15" s="1" t="s">
        <v>35</v>
      </c>
      <c r="C15" s="1">
        <v>7</v>
      </c>
      <c r="D15" s="1" t="s">
        <v>32</v>
      </c>
      <c r="E15" s="1" t="s">
        <v>52</v>
      </c>
      <c r="F15">
        <v>240</v>
      </c>
    </row>
    <row r="16" spans="1:6">
      <c r="A16" s="1" t="s">
        <v>38</v>
      </c>
      <c r="B16" s="1" t="s">
        <v>37</v>
      </c>
      <c r="C16" s="1">
        <v>7</v>
      </c>
      <c r="D16" s="1" t="s">
        <v>51</v>
      </c>
      <c r="E16" s="1" t="s">
        <v>52</v>
      </c>
      <c r="F16">
        <v>250</v>
      </c>
    </row>
    <row r="17" spans="1:6">
      <c r="A17" s="1" t="s">
        <v>40</v>
      </c>
      <c r="B17" s="1" t="s">
        <v>39</v>
      </c>
      <c r="C17" s="1">
        <v>7</v>
      </c>
      <c r="D17" s="1" t="s">
        <v>51</v>
      </c>
      <c r="E17" s="1" t="s">
        <v>52</v>
      </c>
      <c r="F17">
        <v>240</v>
      </c>
    </row>
    <row r="18" spans="1:6">
      <c r="A18" s="1" t="s">
        <v>42</v>
      </c>
      <c r="B18" s="1" t="s">
        <v>41</v>
      </c>
      <c r="C18" s="1">
        <v>7</v>
      </c>
      <c r="D18" s="1" t="s">
        <v>51</v>
      </c>
      <c r="E18" s="1" t="s">
        <v>52</v>
      </c>
      <c r="F18">
        <v>250</v>
      </c>
    </row>
    <row r="19" spans="1:6">
      <c r="A19" s="1" t="s">
        <v>46</v>
      </c>
      <c r="B19" s="1" t="s">
        <v>45</v>
      </c>
      <c r="C19" s="1">
        <v>7</v>
      </c>
      <c r="D19" s="1" t="s">
        <v>44</v>
      </c>
      <c r="E19" s="1" t="s">
        <v>52</v>
      </c>
      <c r="F19">
        <v>240</v>
      </c>
    </row>
    <row r="20" spans="1:6">
      <c r="A20" s="1" t="s">
        <v>49</v>
      </c>
      <c r="B20" s="1" t="s">
        <v>48</v>
      </c>
      <c r="C20" s="1">
        <v>7</v>
      </c>
      <c r="D20" s="1" t="s">
        <v>47</v>
      </c>
      <c r="E20" s="1" t="s">
        <v>52</v>
      </c>
      <c r="F20">
        <v>260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3676D-C477-4879-8686-04A63DE0F90A}">
  <sheetPr codeName="Sheet2"/>
  <dimension ref="A1:AG4"/>
  <sheetViews>
    <sheetView zoomScale="85" zoomScaleNormal="85" workbookViewId="0">
      <selection activeCell="AB14" sqref="AB14"/>
    </sheetView>
  </sheetViews>
  <sheetFormatPr defaultRowHeight="15.6"/>
  <cols>
    <col min="1" max="1" width="22" customWidth="1"/>
  </cols>
  <sheetData>
    <row r="1" spans="1:33">
      <c r="B1" s="5" t="s">
        <v>54</v>
      </c>
      <c r="C1" s="5" t="s">
        <v>55</v>
      </c>
      <c r="D1" s="5" t="s">
        <v>56</v>
      </c>
      <c r="E1" s="5" t="s">
        <v>57</v>
      </c>
      <c r="F1" s="5" t="s">
        <v>58</v>
      </c>
      <c r="G1" s="5" t="s">
        <v>59</v>
      </c>
      <c r="H1" s="5" t="s">
        <v>60</v>
      </c>
      <c r="I1" s="5" t="s">
        <v>61</v>
      </c>
      <c r="J1" s="5" t="s">
        <v>62</v>
      </c>
      <c r="K1" s="5" t="s">
        <v>63</v>
      </c>
      <c r="L1" s="5" t="s">
        <v>64</v>
      </c>
      <c r="M1" s="5" t="s">
        <v>65</v>
      </c>
      <c r="N1" s="5" t="s">
        <v>66</v>
      </c>
      <c r="O1" s="5" t="s">
        <v>67</v>
      </c>
      <c r="P1" s="5" t="s">
        <v>68</v>
      </c>
      <c r="Q1" s="5" t="s">
        <v>69</v>
      </c>
      <c r="R1" s="5" t="s">
        <v>70</v>
      </c>
      <c r="S1" s="5" t="s">
        <v>71</v>
      </c>
      <c r="T1" s="5" t="s">
        <v>72</v>
      </c>
      <c r="U1" s="5" t="s">
        <v>73</v>
      </c>
      <c r="V1" s="5" t="s">
        <v>74</v>
      </c>
      <c r="W1" s="5" t="s">
        <v>75</v>
      </c>
      <c r="X1" s="5" t="s">
        <v>76</v>
      </c>
      <c r="Y1" s="5" t="s">
        <v>77</v>
      </c>
      <c r="Z1" s="5" t="s">
        <v>78</v>
      </c>
      <c r="AA1" s="5" t="s">
        <v>79</v>
      </c>
      <c r="AB1" s="5" t="s">
        <v>80</v>
      </c>
      <c r="AC1" s="5" t="s">
        <v>81</v>
      </c>
      <c r="AD1" s="5" t="s">
        <v>82</v>
      </c>
      <c r="AE1" s="5" t="s">
        <v>83</v>
      </c>
      <c r="AF1" s="5" t="s">
        <v>84</v>
      </c>
    </row>
    <row r="2" spans="1:33">
      <c r="A2" s="1" t="s">
        <v>43</v>
      </c>
      <c r="B2" s="4">
        <v>80</v>
      </c>
      <c r="C2" s="4">
        <v>80</v>
      </c>
      <c r="D2" s="4">
        <v>80</v>
      </c>
      <c r="E2" s="4">
        <v>80</v>
      </c>
      <c r="F2" s="4">
        <v>80</v>
      </c>
      <c r="G2" s="4">
        <v>80</v>
      </c>
      <c r="H2" s="4">
        <v>80</v>
      </c>
      <c r="I2" s="4">
        <v>80</v>
      </c>
      <c r="J2" s="4">
        <v>80</v>
      </c>
      <c r="K2" s="4">
        <v>80</v>
      </c>
      <c r="L2" s="4">
        <v>80</v>
      </c>
      <c r="M2" s="4">
        <v>80</v>
      </c>
      <c r="N2" s="4">
        <v>80</v>
      </c>
      <c r="O2" s="4">
        <v>80</v>
      </c>
      <c r="P2" s="4">
        <v>80</v>
      </c>
      <c r="Q2" s="4">
        <v>80</v>
      </c>
      <c r="R2" s="4">
        <v>80</v>
      </c>
      <c r="S2" s="4">
        <v>80</v>
      </c>
      <c r="T2" s="4">
        <v>80</v>
      </c>
      <c r="U2" s="4">
        <v>80</v>
      </c>
      <c r="V2" s="4">
        <v>80</v>
      </c>
      <c r="W2" s="4">
        <v>80</v>
      </c>
      <c r="X2" s="4">
        <v>80</v>
      </c>
      <c r="Y2" s="4">
        <v>80</v>
      </c>
      <c r="Z2" s="4">
        <v>80</v>
      </c>
      <c r="AA2" s="4">
        <v>80</v>
      </c>
      <c r="AB2" s="4">
        <v>80</v>
      </c>
      <c r="AC2" s="4">
        <v>80</v>
      </c>
      <c r="AD2" s="4">
        <v>80</v>
      </c>
      <c r="AE2" s="4">
        <v>80</v>
      </c>
      <c r="AF2" s="4">
        <v>80</v>
      </c>
      <c r="AG2" s="4"/>
    </row>
    <row r="3" spans="1:33">
      <c r="A3" s="1" t="s">
        <v>46</v>
      </c>
      <c r="B3" s="4">
        <v>80</v>
      </c>
      <c r="C3" s="4">
        <v>80</v>
      </c>
      <c r="D3" s="4">
        <v>80</v>
      </c>
      <c r="E3" s="4">
        <v>80</v>
      </c>
      <c r="F3" s="4">
        <v>80</v>
      </c>
      <c r="G3" s="4">
        <v>80</v>
      </c>
      <c r="H3" s="4">
        <v>80</v>
      </c>
      <c r="I3" s="4">
        <v>80</v>
      </c>
      <c r="J3" s="4">
        <v>80</v>
      </c>
      <c r="K3" s="4">
        <v>80</v>
      </c>
      <c r="L3" s="4">
        <v>80</v>
      </c>
      <c r="M3" s="4">
        <v>80</v>
      </c>
      <c r="N3" s="4">
        <v>80</v>
      </c>
      <c r="O3" s="4">
        <v>80</v>
      </c>
      <c r="P3" s="4">
        <v>80</v>
      </c>
      <c r="Q3" s="4">
        <v>80</v>
      </c>
      <c r="R3" s="4">
        <v>80</v>
      </c>
      <c r="S3" s="4">
        <v>80</v>
      </c>
      <c r="T3" s="4">
        <v>80</v>
      </c>
      <c r="U3" s="4">
        <v>80</v>
      </c>
      <c r="V3" s="4">
        <v>80</v>
      </c>
      <c r="W3" s="4">
        <v>80</v>
      </c>
      <c r="X3" s="4">
        <v>80</v>
      </c>
      <c r="Y3" s="4">
        <v>80</v>
      </c>
      <c r="Z3" s="4">
        <v>80</v>
      </c>
      <c r="AA3" s="4">
        <v>80</v>
      </c>
      <c r="AB3" s="4">
        <v>80</v>
      </c>
      <c r="AC3" s="4">
        <v>80</v>
      </c>
      <c r="AD3" s="4">
        <v>80</v>
      </c>
      <c r="AE3" s="4">
        <v>80</v>
      </c>
      <c r="AF3" s="4">
        <v>80</v>
      </c>
      <c r="AG3" s="4"/>
    </row>
    <row r="4" spans="1:33">
      <c r="A4" s="1" t="s">
        <v>49</v>
      </c>
      <c r="B4" s="4">
        <v>80</v>
      </c>
      <c r="C4" s="4">
        <v>80</v>
      </c>
      <c r="D4" s="4">
        <v>80</v>
      </c>
      <c r="E4" s="4">
        <v>80</v>
      </c>
      <c r="F4" s="4">
        <v>80</v>
      </c>
      <c r="G4" s="4">
        <v>80</v>
      </c>
      <c r="H4" s="4">
        <v>80</v>
      </c>
      <c r="I4" s="4">
        <v>80</v>
      </c>
      <c r="J4" s="4">
        <v>80</v>
      </c>
      <c r="K4" s="4">
        <v>80</v>
      </c>
      <c r="L4" s="4">
        <v>80</v>
      </c>
      <c r="M4" s="4">
        <v>80</v>
      </c>
      <c r="N4" s="4">
        <v>80</v>
      </c>
      <c r="O4" s="4">
        <v>80</v>
      </c>
      <c r="P4" s="4">
        <v>80</v>
      </c>
      <c r="Q4" s="4">
        <v>80</v>
      </c>
      <c r="R4" s="4">
        <v>80</v>
      </c>
      <c r="S4" s="4">
        <v>80</v>
      </c>
      <c r="T4" s="4">
        <v>80</v>
      </c>
      <c r="U4" s="4">
        <v>80</v>
      </c>
      <c r="V4" s="4">
        <v>80</v>
      </c>
      <c r="W4" s="4">
        <v>80</v>
      </c>
      <c r="X4" s="4">
        <v>80</v>
      </c>
      <c r="Y4" s="4">
        <v>80</v>
      </c>
      <c r="Z4" s="4">
        <v>80</v>
      </c>
      <c r="AA4" s="4">
        <v>80</v>
      </c>
      <c r="AB4" s="4">
        <v>80</v>
      </c>
      <c r="AC4" s="4">
        <v>80</v>
      </c>
      <c r="AD4" s="4">
        <v>80</v>
      </c>
      <c r="AE4" s="4">
        <v>80</v>
      </c>
      <c r="AF4" s="4">
        <v>80</v>
      </c>
      <c r="AG4" s="4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BD11E-57FC-498D-84CD-D4D9C5B696C7}">
  <sheetPr codeName="Sheet3"/>
  <dimension ref="A1:BQ24"/>
  <sheetViews>
    <sheetView zoomScaleNormal="100" workbookViewId="0">
      <selection activeCell="B5" sqref="B5:AF12"/>
    </sheetView>
  </sheetViews>
  <sheetFormatPr defaultRowHeight="15.6"/>
  <cols>
    <col min="1" max="1" width="16.54296875" customWidth="1"/>
    <col min="2" max="32" width="9.6328125" bestFit="1" customWidth="1"/>
  </cols>
  <sheetData>
    <row r="1" spans="1:69">
      <c r="B1" s="5" t="s">
        <v>54</v>
      </c>
      <c r="C1" s="5" t="s">
        <v>55</v>
      </c>
      <c r="D1" s="5" t="s">
        <v>56</v>
      </c>
      <c r="E1" s="5" t="s">
        <v>57</v>
      </c>
      <c r="F1" s="5" t="s">
        <v>58</v>
      </c>
      <c r="G1" s="5" t="s">
        <v>59</v>
      </c>
      <c r="H1" s="5" t="s">
        <v>60</v>
      </c>
      <c r="I1" s="5" t="s">
        <v>61</v>
      </c>
      <c r="J1" s="5" t="s">
        <v>62</v>
      </c>
      <c r="K1" s="5" t="s">
        <v>63</v>
      </c>
      <c r="L1" s="5" t="s">
        <v>64</v>
      </c>
      <c r="M1" s="5" t="s">
        <v>65</v>
      </c>
      <c r="N1" s="5" t="s">
        <v>66</v>
      </c>
      <c r="O1" s="5" t="s">
        <v>67</v>
      </c>
      <c r="P1" s="5" t="s">
        <v>68</v>
      </c>
      <c r="Q1" s="5" t="s">
        <v>69</v>
      </c>
      <c r="R1" s="5" t="s">
        <v>70</v>
      </c>
      <c r="S1" s="5" t="s">
        <v>71</v>
      </c>
      <c r="T1" s="5" t="s">
        <v>72</v>
      </c>
      <c r="U1" s="5" t="s">
        <v>73</v>
      </c>
      <c r="V1" s="5" t="s">
        <v>74</v>
      </c>
      <c r="W1" s="5" t="s">
        <v>75</v>
      </c>
      <c r="X1" s="5" t="s">
        <v>76</v>
      </c>
      <c r="Y1" s="5" t="s">
        <v>77</v>
      </c>
      <c r="Z1" s="5" t="s">
        <v>78</v>
      </c>
      <c r="AA1" s="5" t="s">
        <v>79</v>
      </c>
      <c r="AB1" s="5" t="s">
        <v>80</v>
      </c>
      <c r="AC1" s="5" t="s">
        <v>81</v>
      </c>
      <c r="AD1" s="5" t="s">
        <v>82</v>
      </c>
      <c r="AE1" s="5" t="s">
        <v>83</v>
      </c>
      <c r="AF1" s="5" t="s">
        <v>84</v>
      </c>
    </row>
    <row r="2" spans="1:69">
      <c r="A2" t="s">
        <v>85</v>
      </c>
      <c r="B2" s="6">
        <v>1</v>
      </c>
      <c r="C2" s="6">
        <v>1</v>
      </c>
      <c r="D2" s="6">
        <v>1</v>
      </c>
      <c r="E2" s="6">
        <v>1</v>
      </c>
      <c r="F2" s="6">
        <v>1</v>
      </c>
      <c r="G2" s="6">
        <v>1</v>
      </c>
      <c r="H2" s="6">
        <v>1</v>
      </c>
      <c r="I2" s="6">
        <v>1</v>
      </c>
      <c r="J2" s="6">
        <v>1</v>
      </c>
      <c r="K2" s="6">
        <v>1</v>
      </c>
      <c r="L2" s="6">
        <v>1</v>
      </c>
      <c r="M2" s="6">
        <v>1</v>
      </c>
      <c r="N2" s="6">
        <v>1</v>
      </c>
      <c r="O2" s="6">
        <v>1</v>
      </c>
      <c r="P2" s="6">
        <v>1</v>
      </c>
      <c r="Q2" s="6">
        <v>1</v>
      </c>
      <c r="R2" s="6">
        <v>1</v>
      </c>
      <c r="S2" s="6">
        <v>1</v>
      </c>
      <c r="T2" s="6">
        <v>1</v>
      </c>
      <c r="U2" s="6">
        <v>1</v>
      </c>
      <c r="V2" s="6">
        <v>1</v>
      </c>
      <c r="W2" s="6">
        <v>1</v>
      </c>
      <c r="X2" s="6">
        <v>1</v>
      </c>
      <c r="Y2" s="6">
        <v>1</v>
      </c>
      <c r="Z2" s="6">
        <v>1</v>
      </c>
      <c r="AA2" s="6">
        <v>1</v>
      </c>
      <c r="AB2" s="6">
        <v>1</v>
      </c>
      <c r="AC2" s="6">
        <v>1</v>
      </c>
      <c r="AD2" s="6">
        <v>1</v>
      </c>
      <c r="AE2" s="6">
        <v>1</v>
      </c>
      <c r="AF2" s="6">
        <v>1</v>
      </c>
    </row>
    <row r="3" spans="1:69">
      <c r="A3" t="s">
        <v>87</v>
      </c>
      <c r="B3" s="6">
        <v>1</v>
      </c>
      <c r="C3" s="6">
        <v>1</v>
      </c>
      <c r="D3" s="6">
        <v>1</v>
      </c>
      <c r="E3" s="6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6">
        <v>1</v>
      </c>
      <c r="P3" s="6">
        <v>1</v>
      </c>
      <c r="Q3" s="6">
        <v>1</v>
      </c>
      <c r="R3" s="6">
        <v>1</v>
      </c>
      <c r="S3" s="6">
        <v>1</v>
      </c>
      <c r="T3" s="6">
        <v>1</v>
      </c>
      <c r="U3" s="6">
        <v>1</v>
      </c>
      <c r="V3" s="6">
        <v>1</v>
      </c>
      <c r="W3" s="6">
        <v>1</v>
      </c>
      <c r="X3" s="6">
        <v>1</v>
      </c>
      <c r="Y3" s="6">
        <v>1</v>
      </c>
      <c r="Z3" s="6">
        <v>1</v>
      </c>
      <c r="AA3" s="6">
        <v>1</v>
      </c>
      <c r="AB3" s="6">
        <v>1</v>
      </c>
      <c r="AC3" s="6">
        <v>1</v>
      </c>
      <c r="AD3" s="6">
        <v>1</v>
      </c>
      <c r="AE3" s="6">
        <v>1</v>
      </c>
      <c r="AF3" s="6">
        <v>1</v>
      </c>
    </row>
    <row r="4" spans="1:69" hidden="1">
      <c r="A4" t="s">
        <v>99</v>
      </c>
      <c r="B4" s="6">
        <v>1</v>
      </c>
      <c r="C4" s="6">
        <v>1</v>
      </c>
      <c r="D4" s="6">
        <v>1</v>
      </c>
      <c r="E4" s="6">
        <v>1</v>
      </c>
      <c r="F4" s="6">
        <v>1</v>
      </c>
      <c r="G4" s="6">
        <v>1</v>
      </c>
      <c r="H4" s="6">
        <v>1</v>
      </c>
      <c r="I4" s="6">
        <v>1</v>
      </c>
      <c r="J4" s="6">
        <v>1</v>
      </c>
      <c r="K4" s="6">
        <v>1</v>
      </c>
      <c r="L4" s="6">
        <v>1</v>
      </c>
      <c r="M4" s="6">
        <v>1</v>
      </c>
      <c r="N4" s="6">
        <v>1</v>
      </c>
      <c r="O4" s="6">
        <v>1</v>
      </c>
      <c r="P4" s="6">
        <v>1</v>
      </c>
      <c r="Q4" s="6">
        <v>1</v>
      </c>
      <c r="R4" s="6">
        <v>1</v>
      </c>
      <c r="S4" s="6">
        <v>1</v>
      </c>
      <c r="T4" s="6">
        <v>1</v>
      </c>
      <c r="U4" s="6">
        <v>1</v>
      </c>
      <c r="V4" s="6">
        <v>1</v>
      </c>
      <c r="W4" s="6">
        <v>1</v>
      </c>
      <c r="X4" s="6">
        <v>1</v>
      </c>
      <c r="Y4" s="6">
        <v>1</v>
      </c>
      <c r="Z4" s="6">
        <v>1</v>
      </c>
      <c r="AA4" s="6">
        <v>1</v>
      </c>
      <c r="AB4" s="6">
        <v>1</v>
      </c>
      <c r="AC4" s="6">
        <v>1</v>
      </c>
      <c r="AD4" s="6">
        <v>1</v>
      </c>
      <c r="AE4" s="6">
        <v>1</v>
      </c>
      <c r="AF4" s="6">
        <v>1</v>
      </c>
    </row>
    <row r="5" spans="1:69">
      <c r="A5" t="s">
        <v>111</v>
      </c>
      <c r="B5" s="6">
        <v>1</v>
      </c>
      <c r="C5" s="6">
        <v>1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6">
        <v>1</v>
      </c>
      <c r="K5" s="6">
        <v>1</v>
      </c>
      <c r="L5" s="6">
        <v>1</v>
      </c>
      <c r="M5" s="6">
        <v>1</v>
      </c>
      <c r="N5" s="6">
        <v>1</v>
      </c>
      <c r="O5" s="6">
        <v>1</v>
      </c>
      <c r="P5" s="6">
        <v>1</v>
      </c>
      <c r="Q5" s="6">
        <v>1</v>
      </c>
      <c r="R5" s="6">
        <v>1</v>
      </c>
      <c r="S5" s="6">
        <v>1</v>
      </c>
      <c r="T5" s="6">
        <v>1</v>
      </c>
      <c r="U5" s="6">
        <v>1</v>
      </c>
      <c r="V5" s="6">
        <v>1</v>
      </c>
      <c r="W5" s="6">
        <v>1</v>
      </c>
      <c r="X5" s="6">
        <v>1</v>
      </c>
      <c r="Y5" s="6">
        <v>1</v>
      </c>
      <c r="Z5" s="6">
        <v>1</v>
      </c>
      <c r="AA5" s="6">
        <v>1</v>
      </c>
      <c r="AB5" s="6">
        <v>1</v>
      </c>
      <c r="AC5" s="6">
        <v>1</v>
      </c>
      <c r="AD5" s="6">
        <v>1</v>
      </c>
      <c r="AE5" s="6">
        <v>1</v>
      </c>
      <c r="AF5" s="6">
        <v>1</v>
      </c>
    </row>
    <row r="6" spans="1:69" hidden="1">
      <c r="A6" t="s">
        <v>100</v>
      </c>
      <c r="B6" s="6">
        <v>1</v>
      </c>
      <c r="C6" s="6">
        <v>1</v>
      </c>
      <c r="D6" s="6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  <c r="J6" s="6">
        <v>1</v>
      </c>
      <c r="K6" s="6">
        <v>1</v>
      </c>
      <c r="L6" s="6">
        <v>1</v>
      </c>
      <c r="M6" s="6">
        <v>1</v>
      </c>
      <c r="N6" s="6">
        <v>1</v>
      </c>
      <c r="O6" s="6">
        <v>1</v>
      </c>
      <c r="P6" s="6">
        <v>1</v>
      </c>
      <c r="Q6" s="6">
        <v>1</v>
      </c>
      <c r="R6" s="6">
        <v>1</v>
      </c>
      <c r="S6" s="6">
        <v>1</v>
      </c>
      <c r="T6" s="6">
        <v>1</v>
      </c>
      <c r="U6" s="6">
        <v>1</v>
      </c>
      <c r="V6" s="6">
        <v>1</v>
      </c>
      <c r="W6" s="6">
        <v>1</v>
      </c>
      <c r="X6" s="6">
        <v>1</v>
      </c>
      <c r="Y6" s="6">
        <v>1</v>
      </c>
      <c r="Z6" s="6">
        <v>1</v>
      </c>
      <c r="AA6" s="6">
        <v>1</v>
      </c>
      <c r="AB6" s="6">
        <v>1</v>
      </c>
      <c r="AC6" s="6">
        <v>1</v>
      </c>
      <c r="AD6" s="6">
        <v>1</v>
      </c>
      <c r="AE6" s="6">
        <v>1</v>
      </c>
      <c r="AF6" s="6">
        <v>1</v>
      </c>
    </row>
    <row r="7" spans="1:69">
      <c r="A7" t="s">
        <v>115</v>
      </c>
      <c r="B7" s="6">
        <v>1</v>
      </c>
      <c r="C7" s="6">
        <v>1</v>
      </c>
      <c r="D7" s="6">
        <v>1</v>
      </c>
      <c r="E7" s="6">
        <v>1</v>
      </c>
      <c r="F7" s="6">
        <v>1</v>
      </c>
      <c r="G7" s="6">
        <v>1</v>
      </c>
      <c r="H7" s="6">
        <v>1</v>
      </c>
      <c r="I7" s="6">
        <v>1</v>
      </c>
      <c r="J7" s="6">
        <v>1</v>
      </c>
      <c r="K7" s="6">
        <v>1</v>
      </c>
      <c r="L7" s="6">
        <v>1</v>
      </c>
      <c r="M7" s="6">
        <v>1</v>
      </c>
      <c r="N7" s="6">
        <v>1</v>
      </c>
      <c r="O7" s="6">
        <v>1</v>
      </c>
      <c r="P7" s="6">
        <v>1</v>
      </c>
      <c r="Q7" s="6">
        <v>1</v>
      </c>
      <c r="R7" s="6">
        <v>1</v>
      </c>
      <c r="S7" s="6">
        <v>1</v>
      </c>
      <c r="T7" s="6">
        <v>1</v>
      </c>
      <c r="U7" s="6">
        <v>1</v>
      </c>
      <c r="V7" s="6">
        <v>1</v>
      </c>
      <c r="W7" s="6">
        <v>1</v>
      </c>
      <c r="X7" s="6">
        <v>1</v>
      </c>
      <c r="Y7" s="6">
        <v>1</v>
      </c>
      <c r="Z7" s="6">
        <v>1</v>
      </c>
      <c r="AA7" s="6">
        <v>1</v>
      </c>
      <c r="AB7" s="6">
        <v>1</v>
      </c>
      <c r="AC7" s="6">
        <v>1</v>
      </c>
      <c r="AD7" s="6">
        <v>1</v>
      </c>
      <c r="AE7" s="6">
        <v>1</v>
      </c>
      <c r="AF7" s="6">
        <v>1</v>
      </c>
    </row>
    <row r="8" spans="1:69">
      <c r="A8" t="s">
        <v>112</v>
      </c>
      <c r="B8" s="6">
        <v>1</v>
      </c>
      <c r="C8" s="6">
        <v>1</v>
      </c>
      <c r="D8" s="6">
        <v>1</v>
      </c>
      <c r="E8" s="6">
        <v>1</v>
      </c>
      <c r="F8" s="6">
        <v>1</v>
      </c>
      <c r="G8" s="6">
        <v>1</v>
      </c>
      <c r="H8" s="6">
        <v>1</v>
      </c>
      <c r="I8" s="6">
        <v>1</v>
      </c>
      <c r="J8" s="6">
        <v>1</v>
      </c>
      <c r="K8" s="6">
        <v>1</v>
      </c>
      <c r="L8" s="6">
        <v>1</v>
      </c>
      <c r="M8" s="6">
        <v>1</v>
      </c>
      <c r="N8" s="6">
        <v>1</v>
      </c>
      <c r="O8" s="6">
        <v>1</v>
      </c>
      <c r="P8" s="6">
        <v>1</v>
      </c>
      <c r="Q8" s="6">
        <v>1</v>
      </c>
      <c r="R8" s="6">
        <v>1</v>
      </c>
      <c r="S8" s="6">
        <v>1</v>
      </c>
      <c r="T8" s="6">
        <v>1</v>
      </c>
      <c r="U8" s="6">
        <v>1</v>
      </c>
      <c r="V8" s="6">
        <v>1</v>
      </c>
      <c r="W8" s="6">
        <v>1</v>
      </c>
      <c r="X8" s="6">
        <v>1</v>
      </c>
      <c r="Y8" s="6">
        <v>1</v>
      </c>
      <c r="Z8" s="6">
        <v>1</v>
      </c>
      <c r="AA8" s="6">
        <v>1</v>
      </c>
      <c r="AB8" s="6">
        <v>1</v>
      </c>
      <c r="AC8" s="6">
        <v>1</v>
      </c>
      <c r="AD8" s="6">
        <v>1</v>
      </c>
      <c r="AE8" s="6">
        <v>1</v>
      </c>
      <c r="AF8" s="6">
        <v>1</v>
      </c>
    </row>
    <row r="9" spans="1:69">
      <c r="A9" t="s">
        <v>113</v>
      </c>
      <c r="B9" s="6">
        <v>1</v>
      </c>
      <c r="C9" s="6">
        <v>1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1</v>
      </c>
      <c r="J9" s="6">
        <v>1</v>
      </c>
      <c r="K9" s="6">
        <v>1</v>
      </c>
      <c r="L9" s="6">
        <v>1</v>
      </c>
      <c r="M9" s="6">
        <v>1</v>
      </c>
      <c r="N9" s="6">
        <v>1</v>
      </c>
      <c r="O9" s="6">
        <v>1</v>
      </c>
      <c r="P9" s="6">
        <v>1</v>
      </c>
      <c r="Q9" s="6">
        <v>1</v>
      </c>
      <c r="R9" s="6">
        <v>1</v>
      </c>
      <c r="S9" s="6">
        <v>1</v>
      </c>
      <c r="T9" s="6">
        <v>1</v>
      </c>
      <c r="U9" s="6">
        <v>1</v>
      </c>
      <c r="V9" s="6">
        <v>1</v>
      </c>
      <c r="W9" s="6">
        <v>1</v>
      </c>
      <c r="X9" s="6">
        <v>1</v>
      </c>
      <c r="Y9" s="6">
        <v>1</v>
      </c>
      <c r="Z9" s="6">
        <v>1</v>
      </c>
      <c r="AA9" s="6">
        <v>1</v>
      </c>
      <c r="AB9" s="6">
        <v>1</v>
      </c>
      <c r="AC9" s="6">
        <v>1</v>
      </c>
      <c r="AD9" s="6">
        <v>1</v>
      </c>
      <c r="AE9" s="6">
        <v>1</v>
      </c>
      <c r="AF9" s="6">
        <v>1</v>
      </c>
    </row>
    <row r="10" spans="1:69" hidden="1">
      <c r="A10" t="s">
        <v>101</v>
      </c>
      <c r="B10" s="6">
        <v>1</v>
      </c>
      <c r="C10" s="6">
        <v>1</v>
      </c>
      <c r="D10" s="6">
        <v>1</v>
      </c>
      <c r="E10" s="6">
        <v>1</v>
      </c>
      <c r="F10" s="6">
        <v>1</v>
      </c>
      <c r="G10" s="6">
        <v>1</v>
      </c>
      <c r="H10" s="6">
        <v>1</v>
      </c>
      <c r="I10" s="6">
        <v>1</v>
      </c>
      <c r="J10" s="6">
        <v>1</v>
      </c>
      <c r="K10" s="6">
        <v>1</v>
      </c>
      <c r="L10" s="6">
        <v>1</v>
      </c>
      <c r="M10" s="6">
        <v>1</v>
      </c>
      <c r="N10" s="6">
        <v>1</v>
      </c>
      <c r="O10" s="6">
        <v>1</v>
      </c>
      <c r="P10" s="6">
        <v>1</v>
      </c>
      <c r="Q10" s="6">
        <v>1</v>
      </c>
      <c r="R10" s="6">
        <v>1</v>
      </c>
      <c r="S10" s="6">
        <v>1</v>
      </c>
      <c r="T10" s="6">
        <v>1</v>
      </c>
      <c r="U10" s="6">
        <v>1</v>
      </c>
      <c r="V10" s="6">
        <v>1</v>
      </c>
      <c r="W10" s="6">
        <v>1</v>
      </c>
      <c r="X10" s="6">
        <v>1</v>
      </c>
      <c r="Y10" s="6">
        <v>1</v>
      </c>
      <c r="Z10" s="6">
        <v>1</v>
      </c>
      <c r="AA10" s="6">
        <v>1</v>
      </c>
      <c r="AB10" s="6">
        <v>1</v>
      </c>
      <c r="AC10" s="6">
        <v>1</v>
      </c>
      <c r="AD10" s="6">
        <v>1</v>
      </c>
      <c r="AE10" s="6">
        <v>1</v>
      </c>
      <c r="AF10" s="6">
        <v>1</v>
      </c>
    </row>
    <row r="11" spans="1:69" hidden="1">
      <c r="A11" t="s">
        <v>89</v>
      </c>
      <c r="B11" s="6">
        <v>1</v>
      </c>
      <c r="C11" s="6">
        <v>1</v>
      </c>
      <c r="D11" s="6">
        <v>1</v>
      </c>
      <c r="E11" s="6">
        <v>1</v>
      </c>
      <c r="F11" s="6">
        <v>1</v>
      </c>
      <c r="G11" s="6">
        <v>1</v>
      </c>
      <c r="H11" s="6">
        <v>1</v>
      </c>
      <c r="I11" s="6">
        <v>1</v>
      </c>
      <c r="J11" s="6">
        <v>1</v>
      </c>
      <c r="K11" s="6">
        <v>1</v>
      </c>
      <c r="L11" s="6">
        <v>1</v>
      </c>
      <c r="M11" s="6">
        <v>1</v>
      </c>
      <c r="N11" s="6">
        <v>1</v>
      </c>
      <c r="O11" s="6">
        <v>1</v>
      </c>
      <c r="P11" s="6">
        <v>1</v>
      </c>
      <c r="Q11" s="6">
        <v>1</v>
      </c>
      <c r="R11" s="6">
        <v>1</v>
      </c>
      <c r="S11" s="6">
        <v>1</v>
      </c>
      <c r="T11" s="6">
        <v>1</v>
      </c>
      <c r="U11" s="6">
        <v>1</v>
      </c>
      <c r="V11" s="6">
        <v>1</v>
      </c>
      <c r="W11" s="6">
        <v>1</v>
      </c>
      <c r="X11" s="6">
        <v>1</v>
      </c>
      <c r="Y11" s="6">
        <v>1</v>
      </c>
      <c r="Z11" s="6">
        <v>1</v>
      </c>
      <c r="AA11" s="6">
        <v>1</v>
      </c>
      <c r="AB11" s="6">
        <v>1</v>
      </c>
      <c r="AC11" s="6">
        <v>1</v>
      </c>
      <c r="AD11" s="6">
        <v>1</v>
      </c>
      <c r="AE11" s="6">
        <v>1</v>
      </c>
      <c r="AF11" s="6">
        <v>1</v>
      </c>
    </row>
    <row r="12" spans="1:69">
      <c r="A12" t="s">
        <v>116</v>
      </c>
      <c r="B12" s="6">
        <v>1</v>
      </c>
      <c r="C12" s="6">
        <v>1</v>
      </c>
      <c r="D12" s="6">
        <v>1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  <c r="N12" s="6">
        <v>1</v>
      </c>
      <c r="O12" s="6">
        <v>1</v>
      </c>
      <c r="P12" s="6">
        <v>1</v>
      </c>
      <c r="Q12" s="6">
        <v>1</v>
      </c>
      <c r="R12" s="6">
        <v>1</v>
      </c>
      <c r="S12" s="6">
        <v>1</v>
      </c>
      <c r="T12" s="6">
        <v>1</v>
      </c>
      <c r="U12" s="6">
        <v>1</v>
      </c>
      <c r="V12" s="6">
        <v>1</v>
      </c>
      <c r="W12" s="6">
        <v>1</v>
      </c>
      <c r="X12" s="6">
        <v>1</v>
      </c>
      <c r="Y12" s="6">
        <v>1</v>
      </c>
      <c r="Z12" s="6">
        <v>1</v>
      </c>
      <c r="AA12" s="6">
        <v>1</v>
      </c>
      <c r="AB12" s="6">
        <v>1</v>
      </c>
      <c r="AC12" s="6">
        <v>1</v>
      </c>
      <c r="AD12" s="6">
        <v>1</v>
      </c>
      <c r="AE12" s="6">
        <v>1</v>
      </c>
      <c r="AF12" s="6">
        <v>1</v>
      </c>
    </row>
    <row r="13" spans="1:69">
      <c r="A13" t="s">
        <v>114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  <c r="N13" s="6">
        <v>1</v>
      </c>
      <c r="O13" s="6">
        <v>1</v>
      </c>
      <c r="P13" s="6">
        <v>1</v>
      </c>
      <c r="Q13" s="6">
        <v>1</v>
      </c>
      <c r="R13" s="6">
        <v>1</v>
      </c>
      <c r="S13" s="6">
        <v>1</v>
      </c>
      <c r="T13" s="6">
        <v>1</v>
      </c>
      <c r="U13" s="6">
        <v>1</v>
      </c>
      <c r="V13" s="6">
        <v>1</v>
      </c>
      <c r="W13" s="6">
        <v>1</v>
      </c>
      <c r="X13" s="6">
        <v>1</v>
      </c>
      <c r="Y13" s="6">
        <v>1</v>
      </c>
      <c r="Z13" s="6">
        <v>1</v>
      </c>
      <c r="AA13" s="6">
        <v>1</v>
      </c>
      <c r="AB13" s="6">
        <v>1</v>
      </c>
      <c r="AC13" s="6">
        <v>1</v>
      </c>
      <c r="AD13" s="6">
        <v>1</v>
      </c>
      <c r="AE13" s="6">
        <v>1</v>
      </c>
      <c r="AF13" s="6">
        <v>1</v>
      </c>
    </row>
    <row r="14" spans="1:69">
      <c r="A14" t="s">
        <v>108</v>
      </c>
      <c r="B14" s="6">
        <v>1</v>
      </c>
      <c r="C14" s="6">
        <v>1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  <c r="N14" s="6">
        <v>1</v>
      </c>
      <c r="O14" s="6">
        <v>1</v>
      </c>
      <c r="P14" s="6">
        <v>1</v>
      </c>
      <c r="Q14" s="6">
        <v>1</v>
      </c>
      <c r="R14" s="6">
        <v>1</v>
      </c>
      <c r="S14" s="6">
        <v>1</v>
      </c>
      <c r="T14" s="6">
        <v>1</v>
      </c>
      <c r="U14" s="6">
        <v>1</v>
      </c>
      <c r="V14" s="6">
        <v>1</v>
      </c>
      <c r="W14" s="6">
        <v>1</v>
      </c>
      <c r="X14" s="6">
        <v>1</v>
      </c>
      <c r="Y14" s="6">
        <v>1</v>
      </c>
      <c r="Z14" s="6">
        <v>1</v>
      </c>
      <c r="AA14" s="6">
        <v>1</v>
      </c>
      <c r="AB14" s="6">
        <v>1</v>
      </c>
      <c r="AC14" s="6">
        <v>1</v>
      </c>
      <c r="AD14" s="6">
        <v>1</v>
      </c>
      <c r="AE14" s="6">
        <v>1</v>
      </c>
      <c r="AF14" s="6">
        <v>1</v>
      </c>
    </row>
    <row r="15" spans="1:69">
      <c r="A15" t="s">
        <v>107</v>
      </c>
      <c r="B15" s="6">
        <v>1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  <c r="N15" s="6">
        <v>1</v>
      </c>
      <c r="O15" s="6">
        <v>1</v>
      </c>
      <c r="P15" s="6">
        <v>1</v>
      </c>
      <c r="Q15" s="6">
        <v>1</v>
      </c>
      <c r="R15" s="6">
        <v>1</v>
      </c>
      <c r="S15" s="6">
        <v>1</v>
      </c>
      <c r="T15" s="6">
        <v>1</v>
      </c>
      <c r="U15" s="6">
        <v>1</v>
      </c>
      <c r="V15" s="6">
        <v>1</v>
      </c>
      <c r="W15" s="6">
        <v>1</v>
      </c>
      <c r="X15" s="6">
        <v>1</v>
      </c>
      <c r="Y15" s="6">
        <v>1</v>
      </c>
      <c r="Z15" s="6">
        <v>1</v>
      </c>
      <c r="AA15" s="6">
        <v>1</v>
      </c>
      <c r="AB15" s="6">
        <v>1</v>
      </c>
      <c r="AC15" s="6">
        <v>1</v>
      </c>
      <c r="AD15" s="6">
        <v>1</v>
      </c>
      <c r="AE15" s="6">
        <v>1</v>
      </c>
      <c r="AF15" s="6">
        <v>1</v>
      </c>
    </row>
    <row r="16" spans="1:69" hidden="1">
      <c r="A16" t="s">
        <v>90</v>
      </c>
      <c r="B16" s="6">
        <v>1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>
        <v>1</v>
      </c>
      <c r="L16" s="6">
        <v>1</v>
      </c>
      <c r="M16" s="6">
        <v>1</v>
      </c>
      <c r="N16" s="6">
        <v>1</v>
      </c>
      <c r="O16" s="6">
        <v>1</v>
      </c>
      <c r="P16" s="6">
        <v>1</v>
      </c>
      <c r="Q16" s="6">
        <v>1</v>
      </c>
      <c r="R16" s="6">
        <v>1</v>
      </c>
      <c r="S16" s="6">
        <v>1</v>
      </c>
      <c r="T16" s="6">
        <v>1</v>
      </c>
      <c r="U16" s="6">
        <v>1</v>
      </c>
      <c r="V16" s="6">
        <v>1</v>
      </c>
      <c r="W16" s="6">
        <v>1</v>
      </c>
      <c r="X16" s="6">
        <v>1</v>
      </c>
      <c r="Y16" s="6">
        <v>1</v>
      </c>
      <c r="Z16" s="6">
        <v>1</v>
      </c>
      <c r="AA16" s="6">
        <v>1</v>
      </c>
      <c r="AB16" s="6">
        <v>1</v>
      </c>
      <c r="AC16" s="6">
        <v>1</v>
      </c>
      <c r="AD16" s="6">
        <v>1</v>
      </c>
      <c r="AE16" s="6">
        <v>1</v>
      </c>
      <c r="AF16" s="6">
        <v>1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</row>
    <row r="17" spans="1:32">
      <c r="A17" t="s">
        <v>88</v>
      </c>
      <c r="B17" s="6">
        <v>1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  <c r="N17" s="6">
        <v>1</v>
      </c>
      <c r="O17" s="6">
        <v>1</v>
      </c>
      <c r="P17" s="6">
        <v>1</v>
      </c>
      <c r="Q17" s="6">
        <v>1</v>
      </c>
      <c r="R17" s="6">
        <v>1</v>
      </c>
      <c r="S17" s="6">
        <v>1</v>
      </c>
      <c r="T17" s="6">
        <v>1</v>
      </c>
      <c r="U17" s="6">
        <v>1</v>
      </c>
      <c r="V17" s="6">
        <v>1</v>
      </c>
      <c r="W17" s="6">
        <v>1</v>
      </c>
      <c r="X17" s="6">
        <v>1</v>
      </c>
      <c r="Y17" s="6">
        <v>1</v>
      </c>
      <c r="Z17" s="6">
        <v>1</v>
      </c>
      <c r="AA17" s="6">
        <v>1</v>
      </c>
      <c r="AB17" s="6">
        <v>1</v>
      </c>
      <c r="AC17" s="6">
        <v>1</v>
      </c>
      <c r="AD17" s="6">
        <v>1</v>
      </c>
      <c r="AE17" s="6">
        <v>1</v>
      </c>
      <c r="AF17" s="6">
        <v>1</v>
      </c>
    </row>
    <row r="18" spans="1:32">
      <c r="A18" t="s">
        <v>86</v>
      </c>
      <c r="B18" s="6">
        <v>1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  <c r="L18" s="6">
        <v>1</v>
      </c>
      <c r="M18" s="6">
        <v>1</v>
      </c>
      <c r="N18" s="6">
        <v>1</v>
      </c>
      <c r="O18" s="6">
        <v>1</v>
      </c>
      <c r="P18" s="6">
        <v>1</v>
      </c>
      <c r="Q18" s="6">
        <v>1</v>
      </c>
      <c r="R18" s="6">
        <v>1</v>
      </c>
      <c r="S18" s="6">
        <v>1</v>
      </c>
      <c r="T18" s="6">
        <v>1</v>
      </c>
      <c r="U18" s="6">
        <v>1</v>
      </c>
      <c r="V18" s="6">
        <v>1</v>
      </c>
      <c r="W18" s="6">
        <v>1</v>
      </c>
      <c r="X18" s="6">
        <v>1</v>
      </c>
      <c r="Y18" s="6">
        <v>1</v>
      </c>
      <c r="Z18" s="6">
        <v>1</v>
      </c>
      <c r="AA18" s="6">
        <v>1</v>
      </c>
      <c r="AB18" s="6">
        <v>1</v>
      </c>
      <c r="AC18" s="6">
        <v>1</v>
      </c>
      <c r="AD18" s="6">
        <v>1</v>
      </c>
      <c r="AE18" s="6">
        <v>1</v>
      </c>
      <c r="AF18" s="6">
        <v>1</v>
      </c>
    </row>
    <row r="19" spans="1:32" hidden="1">
      <c r="A19" t="s">
        <v>109</v>
      </c>
      <c r="B19" s="6">
        <v>1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  <c r="N19" s="6">
        <v>1</v>
      </c>
      <c r="O19" s="6">
        <v>1</v>
      </c>
      <c r="P19" s="6">
        <v>1</v>
      </c>
      <c r="Q19" s="6">
        <v>1</v>
      </c>
      <c r="R19" s="6">
        <v>1</v>
      </c>
      <c r="S19" s="6">
        <v>1</v>
      </c>
      <c r="T19" s="6">
        <v>1</v>
      </c>
      <c r="U19" s="6">
        <v>1</v>
      </c>
      <c r="V19" s="6">
        <v>1</v>
      </c>
      <c r="W19" s="6">
        <v>1</v>
      </c>
      <c r="X19" s="6">
        <v>1</v>
      </c>
      <c r="Y19" s="6">
        <v>1</v>
      </c>
      <c r="Z19" s="6">
        <v>1</v>
      </c>
      <c r="AA19" s="6">
        <v>1</v>
      </c>
      <c r="AB19" s="6">
        <v>1</v>
      </c>
      <c r="AC19" s="6">
        <v>1</v>
      </c>
      <c r="AD19" s="6">
        <v>1</v>
      </c>
      <c r="AE19" s="6">
        <v>1</v>
      </c>
      <c r="AF19" s="6">
        <v>1</v>
      </c>
    </row>
    <row r="20" spans="1:32" hidden="1">
      <c r="A20" t="s">
        <v>110</v>
      </c>
      <c r="B20" s="6">
        <v>1</v>
      </c>
      <c r="C20" s="6">
        <v>1</v>
      </c>
      <c r="D20" s="6">
        <v>1</v>
      </c>
      <c r="E20" s="6">
        <v>1</v>
      </c>
      <c r="F20" s="6">
        <v>1</v>
      </c>
      <c r="G20" s="6">
        <v>1</v>
      </c>
      <c r="H20" s="6">
        <v>1</v>
      </c>
      <c r="I20" s="6">
        <v>1</v>
      </c>
      <c r="J20" s="6">
        <v>1</v>
      </c>
      <c r="K20" s="6">
        <v>1</v>
      </c>
      <c r="L20" s="6">
        <v>1</v>
      </c>
      <c r="M20" s="6">
        <v>1</v>
      </c>
      <c r="N20" s="6">
        <v>1</v>
      </c>
      <c r="O20" s="6">
        <v>1</v>
      </c>
      <c r="P20" s="6">
        <v>1</v>
      </c>
      <c r="Q20" s="6">
        <v>1</v>
      </c>
      <c r="R20" s="6">
        <v>1</v>
      </c>
      <c r="S20" s="6">
        <v>1</v>
      </c>
      <c r="T20" s="6">
        <v>1</v>
      </c>
      <c r="U20" s="6">
        <v>1</v>
      </c>
      <c r="V20" s="6">
        <v>1</v>
      </c>
      <c r="W20" s="6">
        <v>1</v>
      </c>
      <c r="X20" s="6">
        <v>1</v>
      </c>
      <c r="Y20" s="6">
        <v>1</v>
      </c>
      <c r="Z20" s="6">
        <v>1</v>
      </c>
      <c r="AA20" s="6">
        <v>1</v>
      </c>
      <c r="AB20" s="6">
        <v>1</v>
      </c>
      <c r="AC20" s="6">
        <v>1</v>
      </c>
      <c r="AD20" s="6">
        <v>1</v>
      </c>
      <c r="AE20" s="6">
        <v>1</v>
      </c>
      <c r="AF20" s="6">
        <v>1</v>
      </c>
    </row>
    <row r="21" spans="1:32" hidden="1">
      <c r="A21" t="s">
        <v>91</v>
      </c>
      <c r="B21" s="6">
        <v>1</v>
      </c>
      <c r="C21" s="6">
        <v>1</v>
      </c>
      <c r="D21" s="6">
        <v>1</v>
      </c>
      <c r="E21" s="6">
        <v>1</v>
      </c>
      <c r="F21" s="6">
        <v>1</v>
      </c>
      <c r="G21" s="6">
        <v>1</v>
      </c>
      <c r="H21" s="6">
        <v>1</v>
      </c>
      <c r="I21" s="6">
        <v>1</v>
      </c>
      <c r="J21" s="6">
        <v>1</v>
      </c>
      <c r="K21" s="6">
        <v>1</v>
      </c>
      <c r="L21" s="6">
        <v>1</v>
      </c>
      <c r="M21" s="6">
        <v>1</v>
      </c>
      <c r="N21" s="6">
        <v>1</v>
      </c>
      <c r="O21" s="6">
        <v>1</v>
      </c>
      <c r="P21" s="6">
        <v>1</v>
      </c>
      <c r="Q21" s="6">
        <v>1</v>
      </c>
      <c r="R21" s="6">
        <v>1</v>
      </c>
      <c r="S21" s="6">
        <v>1</v>
      </c>
      <c r="T21" s="6">
        <v>1</v>
      </c>
      <c r="U21" s="6">
        <v>1</v>
      </c>
      <c r="V21" s="6">
        <v>1</v>
      </c>
      <c r="W21" s="6">
        <v>1</v>
      </c>
      <c r="X21" s="6">
        <v>1</v>
      </c>
      <c r="Y21" s="6">
        <v>1</v>
      </c>
      <c r="Z21" s="6">
        <v>1</v>
      </c>
      <c r="AA21" s="6">
        <v>1</v>
      </c>
      <c r="AB21" s="6">
        <v>1</v>
      </c>
      <c r="AC21" s="6">
        <v>1</v>
      </c>
      <c r="AD21" s="6">
        <v>1</v>
      </c>
      <c r="AE21" s="6">
        <v>1</v>
      </c>
      <c r="AF21" s="6">
        <v>1</v>
      </c>
    </row>
    <row r="22" spans="1:32">
      <c r="A22" t="s">
        <v>94</v>
      </c>
      <c r="B22" s="6">
        <v>1</v>
      </c>
      <c r="C22" s="6">
        <v>1</v>
      </c>
      <c r="D22" s="6">
        <v>1</v>
      </c>
      <c r="E22" s="6">
        <v>1</v>
      </c>
      <c r="F22" s="6">
        <v>1</v>
      </c>
      <c r="G22" s="6">
        <v>1</v>
      </c>
      <c r="H22" s="6">
        <v>1</v>
      </c>
      <c r="I22" s="6">
        <v>1</v>
      </c>
      <c r="J22" s="6">
        <v>1</v>
      </c>
      <c r="K22" s="6">
        <v>1</v>
      </c>
      <c r="L22" s="6">
        <v>1</v>
      </c>
      <c r="M22" s="6">
        <v>1</v>
      </c>
      <c r="N22" s="6">
        <v>1</v>
      </c>
      <c r="O22" s="6">
        <v>1</v>
      </c>
      <c r="P22" s="6">
        <v>1</v>
      </c>
      <c r="Q22" s="6">
        <v>1</v>
      </c>
      <c r="R22" s="6">
        <v>1</v>
      </c>
      <c r="S22" s="6">
        <v>1</v>
      </c>
      <c r="T22" s="6">
        <v>1</v>
      </c>
      <c r="U22" s="6">
        <v>1</v>
      </c>
      <c r="V22" s="6">
        <v>1</v>
      </c>
      <c r="W22" s="6">
        <v>1</v>
      </c>
      <c r="X22" s="6">
        <v>1</v>
      </c>
      <c r="Y22" s="6">
        <v>1</v>
      </c>
      <c r="Z22" s="6">
        <v>1</v>
      </c>
      <c r="AA22" s="6">
        <v>1</v>
      </c>
      <c r="AB22" s="6">
        <v>1</v>
      </c>
      <c r="AC22" s="6">
        <v>1</v>
      </c>
      <c r="AD22" s="6">
        <v>1</v>
      </c>
      <c r="AE22" s="6">
        <v>1</v>
      </c>
      <c r="AF22" s="6">
        <v>1</v>
      </c>
    </row>
    <row r="23" spans="1:32" hidden="1">
      <c r="A23" t="s">
        <v>92</v>
      </c>
      <c r="B23" s="6">
        <v>1</v>
      </c>
      <c r="C23" s="6">
        <v>1</v>
      </c>
      <c r="D23" s="6">
        <v>1</v>
      </c>
      <c r="E23" s="6">
        <v>1</v>
      </c>
      <c r="F23" s="6">
        <v>1</v>
      </c>
      <c r="G23" s="6">
        <v>1</v>
      </c>
      <c r="H23" s="6">
        <v>1</v>
      </c>
      <c r="I23" s="6">
        <v>1</v>
      </c>
      <c r="J23" s="6">
        <v>1</v>
      </c>
      <c r="K23" s="6">
        <v>1</v>
      </c>
      <c r="L23" s="6">
        <v>1</v>
      </c>
      <c r="M23" s="6">
        <v>1</v>
      </c>
      <c r="N23" s="6">
        <v>1</v>
      </c>
      <c r="O23" s="6">
        <v>1</v>
      </c>
      <c r="P23" s="6">
        <v>1</v>
      </c>
      <c r="Q23" s="6">
        <v>1</v>
      </c>
      <c r="R23" s="6">
        <v>1</v>
      </c>
      <c r="S23" s="6">
        <v>1</v>
      </c>
      <c r="T23" s="6">
        <v>1</v>
      </c>
      <c r="U23" s="6">
        <v>1</v>
      </c>
      <c r="V23" s="6">
        <v>1</v>
      </c>
      <c r="W23" s="6">
        <v>1</v>
      </c>
      <c r="X23" s="6">
        <v>1</v>
      </c>
      <c r="Y23" s="6">
        <v>1</v>
      </c>
      <c r="Z23" s="6">
        <v>1</v>
      </c>
      <c r="AA23" s="6">
        <v>1</v>
      </c>
      <c r="AB23" s="6">
        <v>1</v>
      </c>
      <c r="AC23" s="6">
        <v>1</v>
      </c>
      <c r="AD23" s="6">
        <v>1</v>
      </c>
      <c r="AE23" s="6">
        <v>1</v>
      </c>
      <c r="AF23" s="6">
        <v>1</v>
      </c>
    </row>
    <row r="24" spans="1:32" hidden="1">
      <c r="A24" t="s">
        <v>93</v>
      </c>
      <c r="B24" s="6">
        <v>1</v>
      </c>
      <c r="C24" s="6">
        <v>1</v>
      </c>
      <c r="D24" s="6">
        <v>1</v>
      </c>
      <c r="E24" s="6">
        <v>1</v>
      </c>
      <c r="F24" s="6">
        <v>1</v>
      </c>
      <c r="G24" s="6">
        <v>1</v>
      </c>
      <c r="H24" s="6">
        <v>1</v>
      </c>
      <c r="I24" s="6">
        <v>1</v>
      </c>
      <c r="J24" s="6">
        <v>1</v>
      </c>
      <c r="K24" s="6">
        <v>1</v>
      </c>
      <c r="L24" s="6">
        <v>1</v>
      </c>
      <c r="M24" s="6">
        <v>1</v>
      </c>
      <c r="N24" s="6">
        <v>1</v>
      </c>
      <c r="O24" s="6">
        <v>1</v>
      </c>
      <c r="P24" s="6">
        <v>1</v>
      </c>
      <c r="Q24" s="6">
        <v>1</v>
      </c>
      <c r="R24" s="6">
        <v>1</v>
      </c>
      <c r="S24" s="6">
        <v>1</v>
      </c>
      <c r="T24" s="6">
        <v>1</v>
      </c>
      <c r="U24" s="6">
        <v>1</v>
      </c>
      <c r="V24" s="6">
        <v>1</v>
      </c>
      <c r="W24" s="6">
        <v>1</v>
      </c>
      <c r="X24" s="6">
        <v>1</v>
      </c>
      <c r="Y24" s="6">
        <v>1</v>
      </c>
      <c r="Z24" s="6">
        <v>1</v>
      </c>
      <c r="AA24" s="6">
        <v>1</v>
      </c>
      <c r="AB24" s="6">
        <v>1</v>
      </c>
      <c r="AC24" s="6">
        <v>1</v>
      </c>
      <c r="AD24" s="6">
        <v>1</v>
      </c>
      <c r="AE24" s="6">
        <v>1</v>
      </c>
      <c r="AF24" s="6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BCFBB-18C0-42AE-B26B-96692F8E318F}">
  <dimension ref="A1:H34"/>
  <sheetViews>
    <sheetView zoomScale="70" zoomScaleNormal="70" workbookViewId="0">
      <selection activeCell="H6" sqref="H6"/>
    </sheetView>
  </sheetViews>
  <sheetFormatPr defaultRowHeight="15.6"/>
  <cols>
    <col min="2" max="4" width="11.81640625" bestFit="1" customWidth="1"/>
    <col min="5" max="5" width="11.81640625" customWidth="1"/>
    <col min="6" max="8" width="11.81640625" bestFit="1" customWidth="1"/>
  </cols>
  <sheetData>
    <row r="1" spans="1:8">
      <c r="B1" s="5" t="s">
        <v>85</v>
      </c>
      <c r="C1" s="5" t="s">
        <v>87</v>
      </c>
      <c r="D1" s="5" t="s">
        <v>112</v>
      </c>
      <c r="E1" s="5" t="s">
        <v>113</v>
      </c>
      <c r="F1" s="5" t="s">
        <v>88</v>
      </c>
      <c r="G1" s="5" t="s">
        <v>86</v>
      </c>
      <c r="H1" s="5" t="s">
        <v>94</v>
      </c>
    </row>
    <row r="2" spans="1:8" ht="22.8">
      <c r="A2">
        <v>2018</v>
      </c>
      <c r="B2" s="7">
        <v>0.90149999999999997</v>
      </c>
      <c r="C2" s="7">
        <v>9.8500000000000004E-2</v>
      </c>
      <c r="D2" s="7">
        <v>0.88</v>
      </c>
      <c r="E2" s="18">
        <v>0.12</v>
      </c>
      <c r="F2" s="7">
        <v>0.89900000000000002</v>
      </c>
      <c r="G2" s="7">
        <v>0.1</v>
      </c>
      <c r="H2" s="7">
        <v>1E-3</v>
      </c>
    </row>
    <row r="3" spans="1:8" ht="22.8">
      <c r="A3">
        <v>2019</v>
      </c>
      <c r="B3" s="7">
        <v>0.87214000000000003</v>
      </c>
      <c r="C3" s="7">
        <v>0.12786</v>
      </c>
      <c r="D3" s="7">
        <v>0.84</v>
      </c>
      <c r="E3" s="18">
        <v>0.16</v>
      </c>
      <c r="F3" s="7">
        <v>0.89800000000000002</v>
      </c>
      <c r="G3" s="7">
        <v>0.1</v>
      </c>
      <c r="H3" s="7">
        <v>2E-3</v>
      </c>
    </row>
    <row r="4" spans="1:8" ht="22.8">
      <c r="A4">
        <v>2020</v>
      </c>
      <c r="B4" s="7">
        <v>0.84277999999999997</v>
      </c>
      <c r="C4" s="7">
        <v>0.15722</v>
      </c>
      <c r="D4" s="7">
        <v>0.8</v>
      </c>
      <c r="E4" s="18">
        <v>0.2</v>
      </c>
      <c r="F4" s="7">
        <v>0.79600000000000004</v>
      </c>
      <c r="G4" s="7">
        <v>0.2</v>
      </c>
      <c r="H4" s="7">
        <v>4.0000000000000001E-3</v>
      </c>
    </row>
    <row r="5" spans="1:8" ht="22.8">
      <c r="A5">
        <v>2021</v>
      </c>
      <c r="B5" s="7">
        <v>0.81342000000000003</v>
      </c>
      <c r="C5" s="7">
        <v>0.18658000000000002</v>
      </c>
      <c r="D5" s="7">
        <v>0.76</v>
      </c>
      <c r="E5" s="18">
        <v>0.24</v>
      </c>
      <c r="F5" s="7">
        <v>0.69399999999999995</v>
      </c>
      <c r="G5" s="7">
        <v>0.3</v>
      </c>
      <c r="H5" s="7">
        <v>6.0000000000000001E-3</v>
      </c>
    </row>
    <row r="6" spans="1:8" ht="22.8">
      <c r="A6">
        <v>2022</v>
      </c>
      <c r="B6" s="7">
        <v>0.78405999999999998</v>
      </c>
      <c r="C6" s="7">
        <v>0.21594000000000002</v>
      </c>
      <c r="D6" s="7">
        <v>0.72</v>
      </c>
      <c r="E6" s="18">
        <v>0.28000000000000003</v>
      </c>
      <c r="F6" s="7">
        <v>0.66199999999999992</v>
      </c>
      <c r="G6" s="7">
        <v>0.33</v>
      </c>
      <c r="H6" s="7">
        <v>8.0000000000000002E-3</v>
      </c>
    </row>
    <row r="7" spans="1:8" ht="22.8">
      <c r="A7">
        <v>2023</v>
      </c>
      <c r="B7" s="7">
        <v>0.77869999999999995</v>
      </c>
      <c r="C7" s="7">
        <v>0.2213</v>
      </c>
      <c r="D7" s="7">
        <v>0.67999999999999994</v>
      </c>
      <c r="E7" s="18">
        <v>0.32</v>
      </c>
      <c r="F7" s="7">
        <v>0.63</v>
      </c>
      <c r="G7" s="7">
        <v>0.36</v>
      </c>
      <c r="H7" s="7">
        <v>0.01</v>
      </c>
    </row>
    <row r="8" spans="1:8" ht="22.8">
      <c r="A8">
        <v>2024</v>
      </c>
      <c r="B8" s="7">
        <v>0.77229999999999999</v>
      </c>
      <c r="C8" s="7">
        <v>0.22770000000000001</v>
      </c>
      <c r="D8" s="7">
        <v>0.64</v>
      </c>
      <c r="E8" s="18">
        <v>0.36</v>
      </c>
      <c r="F8" s="7">
        <v>0.58799999999999997</v>
      </c>
      <c r="G8" s="7">
        <v>0.4</v>
      </c>
      <c r="H8" s="7">
        <v>1.2E-2</v>
      </c>
    </row>
    <row r="9" spans="1:8" ht="22.8">
      <c r="B9" s="7"/>
      <c r="C9" s="7"/>
      <c r="D9" s="7"/>
      <c r="E9" s="18"/>
      <c r="F9" s="7"/>
      <c r="G9" s="7"/>
      <c r="H9" s="7"/>
    </row>
    <row r="10" spans="1:8" ht="22.8">
      <c r="B10" s="7"/>
      <c r="C10" s="7"/>
      <c r="D10" s="7"/>
      <c r="E10" s="18"/>
      <c r="F10" s="7"/>
      <c r="G10" s="7"/>
      <c r="H10" s="7"/>
    </row>
    <row r="11" spans="1:8" ht="22.8">
      <c r="B11" s="7"/>
      <c r="C11" s="7"/>
      <c r="D11" s="7"/>
      <c r="E11" s="18"/>
      <c r="F11" s="7"/>
      <c r="G11" s="7"/>
      <c r="H11" s="7"/>
    </row>
    <row r="12" spans="1:8" ht="22.8">
      <c r="B12" s="7"/>
      <c r="C12" s="7"/>
      <c r="D12" s="7"/>
      <c r="E12" s="18"/>
      <c r="F12" s="7"/>
      <c r="G12" s="7"/>
      <c r="H12" s="7"/>
    </row>
    <row r="13" spans="1:8" ht="22.8">
      <c r="B13" s="7"/>
      <c r="C13" s="7"/>
      <c r="D13" s="7"/>
      <c r="E13" s="18"/>
      <c r="F13" s="7"/>
      <c r="G13" s="7"/>
      <c r="H13" s="7"/>
    </row>
    <row r="14" spans="1:8" ht="22.8">
      <c r="B14" s="7"/>
      <c r="C14" s="7"/>
      <c r="D14" s="7"/>
      <c r="E14" s="18"/>
      <c r="F14" s="7"/>
      <c r="G14" s="7"/>
      <c r="H14" s="7"/>
    </row>
    <row r="15" spans="1:8" ht="22.8">
      <c r="B15" s="7"/>
      <c r="C15" s="7"/>
      <c r="D15" s="7"/>
      <c r="E15" s="18"/>
      <c r="F15" s="7"/>
      <c r="G15" s="7"/>
      <c r="H15" s="7"/>
    </row>
    <row r="16" spans="1:8" ht="22.8">
      <c r="B16" s="7"/>
      <c r="C16" s="7"/>
      <c r="D16" s="7"/>
      <c r="E16" s="18"/>
      <c r="F16" s="7"/>
      <c r="G16" s="7"/>
      <c r="H16" s="7"/>
    </row>
    <row r="17" spans="2:8" ht="22.8">
      <c r="B17" s="7"/>
      <c r="C17" s="7"/>
      <c r="D17" s="7"/>
      <c r="E17" s="18"/>
      <c r="F17" s="7"/>
      <c r="G17" s="7"/>
      <c r="H17" s="7"/>
    </row>
    <row r="18" spans="2:8" ht="22.8">
      <c r="B18" s="7"/>
      <c r="C18" s="7"/>
      <c r="D18" s="7"/>
      <c r="E18" s="18"/>
      <c r="F18" s="7"/>
      <c r="G18" s="7"/>
      <c r="H18" s="7"/>
    </row>
    <row r="19" spans="2:8" ht="22.8">
      <c r="B19" s="7"/>
      <c r="C19" s="7"/>
      <c r="D19" s="7"/>
      <c r="E19" s="18"/>
      <c r="F19" s="7"/>
      <c r="G19" s="7"/>
      <c r="H19" s="7"/>
    </row>
    <row r="20" spans="2:8" ht="22.8">
      <c r="B20" s="7"/>
      <c r="C20" s="7"/>
      <c r="D20" s="7"/>
      <c r="E20" s="18"/>
      <c r="F20" s="7"/>
      <c r="G20" s="7"/>
      <c r="H20" s="7"/>
    </row>
    <row r="21" spans="2:8" ht="22.8">
      <c r="B21" s="7"/>
      <c r="C21" s="7"/>
      <c r="D21" s="7"/>
      <c r="E21" s="18"/>
      <c r="F21" s="7"/>
      <c r="G21" s="7"/>
      <c r="H21" s="7"/>
    </row>
    <row r="22" spans="2:8" ht="22.8">
      <c r="B22" s="7"/>
      <c r="C22" s="7"/>
      <c r="D22" s="7"/>
      <c r="E22" s="18"/>
      <c r="F22" s="7"/>
      <c r="G22" s="7"/>
      <c r="H22" s="7"/>
    </row>
    <row r="23" spans="2:8" ht="22.8">
      <c r="B23" s="7"/>
      <c r="C23" s="7"/>
      <c r="D23" s="7"/>
      <c r="E23" s="18"/>
      <c r="F23" s="7"/>
      <c r="G23" s="7"/>
      <c r="H23" s="7"/>
    </row>
    <row r="24" spans="2:8" ht="22.8">
      <c r="B24" s="7"/>
      <c r="C24" s="7"/>
      <c r="D24" s="7"/>
      <c r="E24" s="18"/>
      <c r="F24" s="7"/>
      <c r="G24" s="7"/>
      <c r="H24" s="7"/>
    </row>
    <row r="25" spans="2:8" ht="22.8">
      <c r="B25" s="7"/>
      <c r="C25" s="7"/>
      <c r="D25" s="7"/>
      <c r="E25" s="18"/>
      <c r="F25" s="7"/>
      <c r="G25" s="7"/>
      <c r="H25" s="7"/>
    </row>
    <row r="26" spans="2:8" ht="22.8">
      <c r="B26" s="7"/>
      <c r="C26" s="7"/>
      <c r="D26" s="7"/>
      <c r="E26" s="18"/>
      <c r="F26" s="7"/>
      <c r="G26" s="7"/>
      <c r="H26" s="7"/>
    </row>
    <row r="27" spans="2:8" ht="22.8">
      <c r="B27" s="7"/>
      <c r="C27" s="7"/>
      <c r="D27" s="7"/>
      <c r="E27" s="18"/>
      <c r="F27" s="7"/>
      <c r="G27" s="7"/>
      <c r="H27" s="7"/>
    </row>
    <row r="28" spans="2:8" ht="22.8">
      <c r="B28" s="7"/>
      <c r="C28" s="7"/>
      <c r="D28" s="7"/>
      <c r="E28" s="18"/>
      <c r="F28" s="7"/>
      <c r="G28" s="7"/>
      <c r="H28" s="7"/>
    </row>
    <row r="29" spans="2:8" ht="22.8">
      <c r="B29" s="7"/>
      <c r="C29" s="7"/>
      <c r="D29" s="7"/>
      <c r="E29" s="18"/>
      <c r="F29" s="7"/>
      <c r="G29" s="7"/>
      <c r="H29" s="7"/>
    </row>
    <row r="30" spans="2:8" ht="22.8">
      <c r="B30" s="7"/>
      <c r="C30" s="7"/>
      <c r="D30" s="7"/>
      <c r="E30" s="18"/>
      <c r="F30" s="7"/>
      <c r="G30" s="7"/>
      <c r="H30" s="7"/>
    </row>
    <row r="31" spans="2:8" ht="22.8">
      <c r="B31" s="7"/>
      <c r="C31" s="7"/>
      <c r="D31" s="7"/>
      <c r="E31" s="18"/>
      <c r="F31" s="7"/>
      <c r="G31" s="7"/>
      <c r="H31" s="7"/>
    </row>
    <row r="32" spans="2:8" ht="22.8">
      <c r="B32" s="7"/>
      <c r="C32" s="7"/>
      <c r="D32" s="7"/>
      <c r="E32" s="18"/>
      <c r="F32" s="7"/>
      <c r="G32" s="7"/>
      <c r="H32" s="7"/>
    </row>
    <row r="33" spans="2:8" ht="22.8">
      <c r="B33" s="7"/>
      <c r="C33" s="7"/>
      <c r="D33" s="7"/>
      <c r="E33" s="18"/>
      <c r="F33" s="7"/>
      <c r="G33" s="7"/>
      <c r="H33" s="7"/>
    </row>
    <row r="34" spans="2:8" ht="22.8">
      <c r="B34" s="7"/>
      <c r="C34" s="7"/>
      <c r="D34" s="7"/>
      <c r="E34" s="18"/>
      <c r="F34" s="7"/>
      <c r="G34" s="7"/>
      <c r="H34" s="7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D329A-CCBC-4A42-983E-AF0E28EC89CE}">
  <dimension ref="A1:L8"/>
  <sheetViews>
    <sheetView workbookViewId="0">
      <selection activeCell="L8" sqref="L8"/>
    </sheetView>
  </sheetViews>
  <sheetFormatPr defaultRowHeight="15.6"/>
  <sheetData>
    <row r="1" spans="1:12">
      <c r="B1" s="5" t="s">
        <v>85</v>
      </c>
      <c r="C1" s="5" t="s">
        <v>87</v>
      </c>
      <c r="D1" s="5" t="s">
        <v>102</v>
      </c>
      <c r="E1" s="5" t="s">
        <v>103</v>
      </c>
      <c r="F1" s="5" t="s">
        <v>104</v>
      </c>
      <c r="G1" s="5" t="s">
        <v>105</v>
      </c>
      <c r="H1" s="5" t="s">
        <v>106</v>
      </c>
      <c r="I1" s="5" t="s">
        <v>89</v>
      </c>
      <c r="J1" s="5" t="s">
        <v>88</v>
      </c>
      <c r="K1" s="5" t="s">
        <v>86</v>
      </c>
      <c r="L1" s="5" t="s">
        <v>94</v>
      </c>
    </row>
    <row r="2" spans="1:12" ht="22.8">
      <c r="A2">
        <v>2018</v>
      </c>
      <c r="B2" s="8">
        <v>0.81</v>
      </c>
      <c r="C2" s="8">
        <v>0.19</v>
      </c>
      <c r="D2" s="8">
        <v>0.4</v>
      </c>
      <c r="E2" s="8">
        <v>0.31</v>
      </c>
      <c r="F2" s="8">
        <v>0.12</v>
      </c>
      <c r="G2" s="8">
        <v>7.0000000000000007E-2</v>
      </c>
      <c r="H2" s="8">
        <v>0.1</v>
      </c>
      <c r="I2" s="8">
        <v>1</v>
      </c>
      <c r="J2" s="8">
        <v>0.98</v>
      </c>
      <c r="K2" s="8">
        <v>0.01</v>
      </c>
      <c r="L2" s="8">
        <v>0.01</v>
      </c>
    </row>
    <row r="3" spans="1:12" ht="22.8">
      <c r="A3">
        <v>2019</v>
      </c>
      <c r="B3" s="8">
        <v>0.79600000000000004</v>
      </c>
      <c r="C3" s="8">
        <v>0.20399999999999999</v>
      </c>
      <c r="D3" s="8">
        <v>0.36999999999999994</v>
      </c>
      <c r="E3" s="8">
        <v>0.32</v>
      </c>
      <c r="F3" s="8">
        <v>0.125</v>
      </c>
      <c r="G3" s="8">
        <v>0.08</v>
      </c>
      <c r="H3" s="8">
        <v>0.105</v>
      </c>
      <c r="I3" s="8">
        <v>1</v>
      </c>
      <c r="J3" s="8">
        <v>0.98</v>
      </c>
      <c r="K3" s="8">
        <v>0.01</v>
      </c>
      <c r="L3" s="8">
        <v>0.01</v>
      </c>
    </row>
    <row r="4" spans="1:12" ht="22.8">
      <c r="A4">
        <v>2020</v>
      </c>
      <c r="B4" s="8">
        <v>0.75700000000000001</v>
      </c>
      <c r="C4" s="9">
        <v>0.182</v>
      </c>
      <c r="D4" s="8">
        <v>0.33999999999999997</v>
      </c>
      <c r="E4" s="8">
        <v>0.33</v>
      </c>
      <c r="F4" s="8">
        <v>0.13</v>
      </c>
      <c r="G4" s="8">
        <v>0.09</v>
      </c>
      <c r="H4" s="8">
        <v>0.11</v>
      </c>
      <c r="I4" s="8">
        <v>1</v>
      </c>
      <c r="J4" s="8">
        <v>0.98</v>
      </c>
      <c r="K4" s="8">
        <v>0.01</v>
      </c>
      <c r="L4" s="8">
        <v>0.01</v>
      </c>
    </row>
    <row r="5" spans="1:12" ht="22.8">
      <c r="A5">
        <v>2021</v>
      </c>
      <c r="B5" s="8">
        <v>0.71800000000000008</v>
      </c>
      <c r="C5" s="8">
        <f>1-B5</f>
        <v>0.28199999999999992</v>
      </c>
      <c r="D5" s="8">
        <v>0.30999999999999994</v>
      </c>
      <c r="E5" s="8">
        <v>0.34</v>
      </c>
      <c r="F5" s="8">
        <v>0.13500000000000001</v>
      </c>
      <c r="G5" s="8">
        <v>0.1</v>
      </c>
      <c r="H5" s="8">
        <v>0.115</v>
      </c>
      <c r="I5" s="8">
        <v>1</v>
      </c>
      <c r="J5" s="8">
        <v>0.98</v>
      </c>
      <c r="K5" s="8">
        <v>0.01</v>
      </c>
      <c r="L5" s="8">
        <v>0.01</v>
      </c>
    </row>
    <row r="6" spans="1:12" ht="22.8">
      <c r="A6">
        <v>2022</v>
      </c>
      <c r="B6" s="8">
        <v>0.67900000000000005</v>
      </c>
      <c r="C6" s="8">
        <f t="shared" ref="C6:C8" si="0">1-B6</f>
        <v>0.32099999999999995</v>
      </c>
      <c r="D6" s="8">
        <v>0.28000000000000003</v>
      </c>
      <c r="E6" s="8">
        <v>0.35</v>
      </c>
      <c r="F6" s="8">
        <v>0.14000000000000001</v>
      </c>
      <c r="G6" s="8">
        <v>0.11</v>
      </c>
      <c r="H6" s="8">
        <v>0.12</v>
      </c>
      <c r="I6" s="8">
        <v>1</v>
      </c>
      <c r="J6" s="8">
        <v>0.98</v>
      </c>
      <c r="K6" s="8">
        <v>0.01</v>
      </c>
      <c r="L6" s="8">
        <v>0.01</v>
      </c>
    </row>
    <row r="7" spans="1:12" ht="22.8">
      <c r="A7">
        <v>2023</v>
      </c>
      <c r="B7" s="8">
        <v>0.64</v>
      </c>
      <c r="C7" s="8">
        <f t="shared" si="0"/>
        <v>0.36</v>
      </c>
      <c r="D7" s="8">
        <v>0.25</v>
      </c>
      <c r="E7" s="8">
        <v>0.36</v>
      </c>
      <c r="F7" s="8">
        <v>0.14499999999999999</v>
      </c>
      <c r="G7" s="8">
        <v>0.12</v>
      </c>
      <c r="H7" s="8">
        <v>0.125</v>
      </c>
      <c r="I7" s="8">
        <v>1</v>
      </c>
      <c r="J7" s="8">
        <v>0.98</v>
      </c>
      <c r="K7" s="8">
        <v>0.01</v>
      </c>
      <c r="L7" s="8">
        <v>0.01</v>
      </c>
    </row>
    <row r="8" spans="1:12" ht="22.8">
      <c r="A8">
        <v>2024</v>
      </c>
      <c r="B8" s="8">
        <v>0.6366336666666671</v>
      </c>
      <c r="C8" s="8">
        <f t="shared" si="0"/>
        <v>0.3633663333333329</v>
      </c>
      <c r="D8" s="8">
        <v>0.21999999999999997</v>
      </c>
      <c r="E8" s="8">
        <v>0.37</v>
      </c>
      <c r="F8" s="8">
        <v>0.15</v>
      </c>
      <c r="G8" s="8">
        <v>0.13</v>
      </c>
      <c r="H8" s="8">
        <v>0.13</v>
      </c>
      <c r="I8" s="8">
        <v>1</v>
      </c>
      <c r="J8" s="8">
        <v>0.98</v>
      </c>
      <c r="K8" s="8">
        <v>0.01</v>
      </c>
      <c r="L8" s="8">
        <v>0.01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E978A-B458-4406-9ECB-CC255563C98B}">
  <dimension ref="A1:E34"/>
  <sheetViews>
    <sheetView zoomScale="70" zoomScaleNormal="70" workbookViewId="0">
      <selection activeCell="E7" sqref="E7"/>
    </sheetView>
  </sheetViews>
  <sheetFormatPr defaultRowHeight="15.6"/>
  <cols>
    <col min="2" max="2" width="9.7265625" bestFit="1" customWidth="1"/>
    <col min="4" max="4" width="11.81640625" bestFit="1" customWidth="1"/>
    <col min="5" max="5" width="11.08984375" bestFit="1" customWidth="1"/>
  </cols>
  <sheetData>
    <row r="1" spans="1:5">
      <c r="B1" s="5" t="s">
        <v>95</v>
      </c>
      <c r="C1" s="5" t="s">
        <v>96</v>
      </c>
      <c r="D1" s="5" t="s">
        <v>97</v>
      </c>
      <c r="E1" s="5" t="s">
        <v>98</v>
      </c>
    </row>
    <row r="2" spans="1:5" ht="22.8">
      <c r="A2">
        <v>2018</v>
      </c>
      <c r="B2" s="16">
        <v>0.99920000000000009</v>
      </c>
      <c r="C2" s="17">
        <v>2.0000000000000001E-4</v>
      </c>
      <c r="D2" s="16">
        <v>1E-4</v>
      </c>
      <c r="E2" s="5">
        <v>5.0000000000000001E-4</v>
      </c>
    </row>
    <row r="3" spans="1:5" s="15" customFormat="1" ht="22.8">
      <c r="A3" s="15">
        <v>2019</v>
      </c>
      <c r="B3" s="16">
        <v>0.998</v>
      </c>
      <c r="C3" s="17">
        <v>5.9999999999999995E-4</v>
      </c>
      <c r="D3" s="16">
        <v>4.0000000000000002E-4</v>
      </c>
      <c r="E3" s="16">
        <v>1E-3</v>
      </c>
    </row>
    <row r="4" spans="1:5" ht="22.8">
      <c r="A4">
        <v>2020</v>
      </c>
      <c r="B4" s="16">
        <v>0.99559999999999993</v>
      </c>
      <c r="C4" s="17">
        <v>1.6999999999999999E-3</v>
      </c>
      <c r="D4" s="16">
        <v>6.9999999999999999E-4</v>
      </c>
      <c r="E4" s="16">
        <v>2E-3</v>
      </c>
    </row>
    <row r="5" spans="1:5" ht="22.8">
      <c r="A5">
        <v>2021</v>
      </c>
      <c r="B5" s="16">
        <v>0.98699999999999999</v>
      </c>
      <c r="C5" s="17">
        <v>8.9999999999999993E-3</v>
      </c>
      <c r="D5" s="16">
        <v>1E-3</v>
      </c>
      <c r="E5" s="16">
        <v>3.0000000000000001E-3</v>
      </c>
    </row>
    <row r="6" spans="1:5" ht="22.8">
      <c r="A6">
        <v>2022</v>
      </c>
      <c r="B6" s="16">
        <v>0.96579999999999999</v>
      </c>
      <c r="C6" s="17">
        <v>2.9000000000000001E-2</v>
      </c>
      <c r="D6" s="16">
        <v>1.1999999999999999E-3</v>
      </c>
      <c r="E6" s="16">
        <v>4.0000000000000001E-3</v>
      </c>
    </row>
    <row r="7" spans="1:5" ht="22.8">
      <c r="A7">
        <v>2023</v>
      </c>
      <c r="B7" s="16">
        <v>0.9476</v>
      </c>
      <c r="C7" s="17">
        <v>4.5999999999999999E-2</v>
      </c>
      <c r="D7" s="16">
        <v>1.4E-3</v>
      </c>
      <c r="E7" s="16">
        <v>5.0000000000000001E-3</v>
      </c>
    </row>
    <row r="8" spans="1:5" ht="22.8">
      <c r="A8">
        <v>2024</v>
      </c>
      <c r="B8" s="16">
        <v>0.9295000000000001</v>
      </c>
      <c r="C8" s="17">
        <v>6.3E-2</v>
      </c>
      <c r="D8" s="16">
        <f>E8/4</f>
        <v>1.5E-3</v>
      </c>
      <c r="E8" s="16">
        <v>6.0000000000000001E-3</v>
      </c>
    </row>
    <row r="9" spans="1:5" ht="22.8">
      <c r="B9" s="16"/>
      <c r="C9" s="17"/>
      <c r="D9" s="16"/>
      <c r="E9" s="16"/>
    </row>
    <row r="10" spans="1:5" ht="22.8">
      <c r="B10" s="16"/>
      <c r="C10" s="17"/>
      <c r="D10" s="16"/>
      <c r="E10" s="16"/>
    </row>
    <row r="11" spans="1:5" ht="22.8">
      <c r="B11" s="16"/>
      <c r="C11" s="17"/>
      <c r="D11" s="16"/>
      <c r="E11" s="16"/>
    </row>
    <row r="12" spans="1:5" ht="22.8">
      <c r="B12" s="16"/>
      <c r="C12" s="17"/>
      <c r="D12" s="16"/>
      <c r="E12" s="16"/>
    </row>
    <row r="13" spans="1:5" ht="22.8">
      <c r="B13" s="16"/>
      <c r="C13" s="17"/>
      <c r="D13" s="16"/>
      <c r="E13" s="16"/>
    </row>
    <row r="14" spans="1:5" ht="22.8">
      <c r="B14" s="16"/>
      <c r="C14" s="17"/>
      <c r="D14" s="16"/>
      <c r="E14" s="16"/>
    </row>
    <row r="15" spans="1:5" ht="22.8">
      <c r="B15" s="16"/>
      <c r="C15" s="17"/>
      <c r="D15" s="16"/>
      <c r="E15" s="16"/>
    </row>
    <row r="16" spans="1:5" ht="22.8">
      <c r="B16" s="16"/>
      <c r="C16" s="17"/>
      <c r="D16" s="16"/>
      <c r="E16" s="16"/>
    </row>
    <row r="17" spans="2:5" ht="22.8">
      <c r="B17" s="16"/>
      <c r="C17" s="17"/>
      <c r="D17" s="16"/>
      <c r="E17" s="16"/>
    </row>
    <row r="18" spans="2:5" ht="22.8">
      <c r="B18" s="16"/>
      <c r="C18" s="17"/>
      <c r="D18" s="16"/>
      <c r="E18" s="16"/>
    </row>
    <row r="19" spans="2:5" ht="22.8">
      <c r="B19" s="16"/>
      <c r="C19" s="17"/>
      <c r="D19" s="16"/>
      <c r="E19" s="16"/>
    </row>
    <row r="20" spans="2:5" ht="22.8">
      <c r="B20" s="16"/>
      <c r="C20" s="17"/>
      <c r="D20" s="16"/>
      <c r="E20" s="16"/>
    </row>
    <row r="21" spans="2:5" ht="22.8">
      <c r="B21" s="16"/>
      <c r="C21" s="17"/>
      <c r="D21" s="16"/>
      <c r="E21" s="16"/>
    </row>
    <row r="22" spans="2:5" ht="22.8">
      <c r="B22" s="16"/>
      <c r="C22" s="17"/>
      <c r="D22" s="16"/>
      <c r="E22" s="16"/>
    </row>
    <row r="23" spans="2:5" ht="22.8">
      <c r="B23" s="16"/>
      <c r="C23" s="17"/>
      <c r="D23" s="16"/>
      <c r="E23" s="16"/>
    </row>
    <row r="24" spans="2:5" ht="22.8">
      <c r="B24" s="16"/>
      <c r="C24" s="17"/>
      <c r="D24" s="16"/>
      <c r="E24" s="16"/>
    </row>
    <row r="25" spans="2:5" ht="22.8">
      <c r="B25" s="16"/>
      <c r="C25" s="17"/>
      <c r="D25" s="16"/>
      <c r="E25" s="16"/>
    </row>
    <row r="26" spans="2:5" ht="22.8">
      <c r="B26" s="16"/>
      <c r="C26" s="17"/>
      <c r="D26" s="16"/>
      <c r="E26" s="16"/>
    </row>
    <row r="27" spans="2:5" ht="22.8">
      <c r="B27" s="16"/>
      <c r="C27" s="17"/>
      <c r="D27" s="16"/>
      <c r="E27" s="16"/>
    </row>
    <row r="28" spans="2:5" ht="22.8">
      <c r="B28" s="16"/>
      <c r="C28" s="17"/>
      <c r="D28" s="16"/>
      <c r="E28" s="16"/>
    </row>
    <row r="29" spans="2:5" ht="22.8">
      <c r="B29" s="16"/>
      <c r="C29" s="17"/>
      <c r="D29" s="16"/>
      <c r="E29" s="16"/>
    </row>
    <row r="30" spans="2:5" ht="22.8">
      <c r="B30" s="16"/>
      <c r="C30" s="17"/>
      <c r="D30" s="16"/>
      <c r="E30" s="16"/>
    </row>
    <row r="31" spans="2:5" ht="22.8">
      <c r="B31" s="16"/>
      <c r="C31" s="17"/>
      <c r="D31" s="16"/>
      <c r="E31" s="16"/>
    </row>
    <row r="32" spans="2:5" ht="22.8">
      <c r="B32" s="16"/>
      <c r="C32" s="17"/>
      <c r="D32" s="16"/>
      <c r="E32" s="16"/>
    </row>
    <row r="33" spans="2:5" ht="22.8">
      <c r="B33" s="16"/>
      <c r="C33" s="17"/>
      <c r="D33" s="16"/>
      <c r="E33" s="16"/>
    </row>
    <row r="34" spans="2:5" ht="22.8">
      <c r="B34" s="16"/>
      <c r="C34" s="17"/>
      <c r="D34" s="16"/>
      <c r="E34" s="16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7C49-5309-4348-B49E-FE3169865CC2}">
  <dimension ref="A1:E6"/>
  <sheetViews>
    <sheetView tabSelected="1" workbookViewId="0">
      <selection activeCell="D4" sqref="D4"/>
    </sheetView>
  </sheetViews>
  <sheetFormatPr defaultRowHeight="15.6"/>
  <cols>
    <col min="2" max="2" width="9.90625" bestFit="1" customWidth="1"/>
    <col min="3" max="3" width="8.90625" bestFit="1" customWidth="1"/>
    <col min="4" max="5" width="9.90625" bestFit="1" customWidth="1"/>
  </cols>
  <sheetData>
    <row r="1" spans="1:5">
      <c r="B1" s="5" t="s">
        <v>95</v>
      </c>
      <c r="C1" s="5" t="s">
        <v>96</v>
      </c>
      <c r="D1" s="5" t="s">
        <v>97</v>
      </c>
      <c r="E1" s="5" t="s">
        <v>98</v>
      </c>
    </row>
    <row r="2" spans="1:5" ht="22.8">
      <c r="A2">
        <v>2019</v>
      </c>
      <c r="B2" s="12">
        <v>0.99890000000000001</v>
      </c>
      <c r="C2" s="13">
        <v>1E-3</v>
      </c>
      <c r="D2" s="12">
        <v>5.0000000000000002E-5</v>
      </c>
      <c r="E2" s="12">
        <v>5.0000000000000002E-5</v>
      </c>
    </row>
    <row r="3" spans="1:5" ht="22.8">
      <c r="A3">
        <v>2020</v>
      </c>
      <c r="B3" s="12">
        <v>0.96299999999999997</v>
      </c>
      <c r="C3" s="11">
        <v>3.5000000000000003E-2</v>
      </c>
      <c r="D3" s="10">
        <v>1E-3</v>
      </c>
      <c r="E3" s="10">
        <v>1E-3</v>
      </c>
    </row>
    <row r="4" spans="1:5" ht="22.8">
      <c r="A4">
        <v>2021</v>
      </c>
      <c r="B4" s="12">
        <v>0.90300000000000002</v>
      </c>
      <c r="C4" s="11">
        <v>9.1999999999999998E-2</v>
      </c>
      <c r="D4" s="10">
        <v>2E-3</v>
      </c>
      <c r="E4" s="10">
        <v>3.0000000000000001E-3</v>
      </c>
    </row>
    <row r="5" spans="1:5" ht="22.8">
      <c r="A5">
        <v>2022</v>
      </c>
      <c r="B5" s="12">
        <v>0.84399999999999997</v>
      </c>
      <c r="C5" s="11">
        <v>0.14899999999999999</v>
      </c>
      <c r="D5" s="10">
        <v>3.0000000000000001E-3</v>
      </c>
      <c r="E5" s="10">
        <v>4.0000000000000001E-3</v>
      </c>
    </row>
    <row r="6" spans="1:5" ht="22.8">
      <c r="A6">
        <v>2023</v>
      </c>
      <c r="B6" s="12">
        <v>0.78400000000000003</v>
      </c>
      <c r="C6" s="11">
        <v>0.20699999999999999</v>
      </c>
      <c r="D6" s="10">
        <v>4.0000000000000001E-3</v>
      </c>
      <c r="E6" s="14">
        <v>5.0000000000000001E-3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salary</vt:lpstr>
      <vt:lpstr>charging_prob</vt:lpstr>
      <vt:lpstr>target_ptprobs_l</vt:lpstr>
      <vt:lpstr>target_ptprobs_m</vt:lpstr>
      <vt:lpstr>Target_Probability_l</vt:lpstr>
      <vt:lpstr>Target_Probability_m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宝彤 张</dc:creator>
  <cp:lastModifiedBy>宝彤 张</cp:lastModifiedBy>
  <dcterms:created xsi:type="dcterms:W3CDTF">2024-06-21T06:52:38Z</dcterms:created>
  <dcterms:modified xsi:type="dcterms:W3CDTF">2026-07-02T13:25:36Z</dcterms:modified>
</cp:coreProperties>
</file>