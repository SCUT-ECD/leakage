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ENOVO\PycharmProjects\pythonProjectECD\leakage\baseleakage - 2020-2024calibration\"/>
    </mc:Choice>
  </mc:AlternateContent>
  <xr:revisionPtr revIDLastSave="0" documentId="13_ncr:1_{CACD6F52-E635-4637-A4C2-DABCCDBC06B8}" xr6:coauthVersionLast="47" xr6:coauthVersionMax="47" xr10:uidLastSave="{00000000-0000-0000-0000-000000000000}"/>
  <bookViews>
    <workbookView xWindow="2544" yWindow="2520" windowWidth="21468" windowHeight="13980" tabRatio="783" firstSheet="7" activeTab="14" xr2:uid="{00000000-000D-0000-FFFF-FFFF00000000}"/>
  </bookViews>
  <sheets>
    <sheet name="regionfcprice" sheetId="1" r:id="rId1"/>
    <sheet name="efuelcarbon" sheetId="2" r:id="rId2"/>
    <sheet name="esubsidy" sheetId="16" r:id="rId3"/>
    <sheet name="fcprice" sheetId="3" r:id="rId4"/>
    <sheet name="remainrate" sheetId="4" r:id="rId5"/>
    <sheet name="carbontax" sheetId="5" r:id="rId6"/>
    <sheet name="unittonkmcost" sheetId="6" r:id="rId7"/>
    <sheet name="stationdistance" sheetId="7" r:id="rId8"/>
    <sheet name="ch_efficiency" sheetId="8" r:id="rId9"/>
    <sheet name="ptretire" sheetId="9" r:id="rId10"/>
    <sheet name="retire" sheetId="10" r:id="rId11"/>
    <sheet name="yearretire" sheetId="11" r:id="rId12"/>
    <sheet name="batteryprice" sheetId="12" r:id="rId13"/>
    <sheet name="yearchargprob" sheetId="13" r:id="rId14"/>
    <sheet name="subsidy" sheetId="14" r:id="rId15"/>
    <sheet name="regionsubsidy" sheetId="15" r:id="rId16"/>
  </sheets>
  <definedNames>
    <definedName name="柴油能量密度GJ每L">fcprice!$P$2</definedName>
    <definedName name="汇率">fcprice!$H$2</definedName>
  </definedNames>
  <calcPr calcId="191029"/>
</workbook>
</file>

<file path=xl/calcChain.xml><?xml version="1.0" encoding="utf-8"?>
<calcChain xmlns="http://schemas.openxmlformats.org/spreadsheetml/2006/main">
  <c r="X2" i="3" l="1"/>
  <c r="X3" i="3"/>
  <c r="X4" i="3"/>
  <c r="X5" i="3"/>
  <c r="X6" i="3"/>
  <c r="X7" i="3"/>
  <c r="X8" i="3"/>
  <c r="X9" i="3"/>
  <c r="X10" i="3"/>
  <c r="X11" i="3"/>
  <c r="X12" i="3"/>
  <c r="X13" i="3"/>
  <c r="X14" i="3"/>
  <c r="X15" i="3"/>
  <c r="X16" i="3"/>
  <c r="X17" i="3"/>
  <c r="X18" i="3"/>
  <c r="X19" i="3"/>
  <c r="X20" i="3"/>
  <c r="X21" i="3"/>
  <c r="X22" i="3"/>
  <c r="X23" i="3"/>
  <c r="X24" i="3"/>
  <c r="X25" i="3"/>
  <c r="X26" i="3"/>
  <c r="X27" i="3"/>
  <c r="X28" i="3"/>
  <c r="X29" i="3"/>
  <c r="X30" i="3"/>
  <c r="X31" i="3"/>
  <c r="X32" i="3"/>
  <c r="X33" i="3"/>
  <c r="X34" i="3"/>
  <c r="X35" i="3"/>
  <c r="X36" i="3"/>
  <c r="X37" i="3"/>
  <c r="X38" i="3"/>
  <c r="X39" i="3"/>
  <c r="X40" i="3"/>
  <c r="X41" i="3"/>
  <c r="X42" i="3"/>
  <c r="X43" i="3"/>
  <c r="X44" i="3"/>
  <c r="AA9" i="3"/>
  <c r="AI11" i="3"/>
  <c r="AK11" i="3"/>
  <c r="AP11" i="3"/>
  <c r="AJ5" i="3"/>
  <c r="AL3" i="3"/>
  <c r="AM3" i="3" s="1"/>
  <c r="U44" i="13"/>
  <c r="T44" i="13"/>
  <c r="U43" i="13"/>
  <c r="T43" i="13"/>
  <c r="U42" i="13"/>
  <c r="T42" i="13"/>
  <c r="U41" i="13"/>
  <c r="T41" i="13"/>
  <c r="U40" i="13"/>
  <c r="T40" i="13"/>
  <c r="U39" i="13"/>
  <c r="T39" i="13"/>
  <c r="U38" i="13"/>
  <c r="T38" i="13"/>
  <c r="U37" i="13"/>
  <c r="T37" i="13"/>
  <c r="U36" i="13"/>
  <c r="T36" i="13"/>
  <c r="U35" i="13"/>
  <c r="T35" i="13"/>
  <c r="U34" i="13"/>
  <c r="T34" i="13"/>
  <c r="U33" i="13"/>
  <c r="T33" i="13"/>
  <c r="U32" i="13"/>
  <c r="T32" i="13"/>
  <c r="U31" i="13"/>
  <c r="T31" i="13"/>
  <c r="U30" i="13"/>
  <c r="T30" i="13"/>
  <c r="U29" i="13"/>
  <c r="T29" i="13"/>
  <c r="U28" i="13"/>
  <c r="T28" i="13"/>
  <c r="U27" i="13"/>
  <c r="T27" i="13"/>
  <c r="U26" i="13"/>
  <c r="T26" i="13"/>
  <c r="U25" i="13"/>
  <c r="T25" i="13"/>
  <c r="U24" i="13"/>
  <c r="T24" i="13"/>
  <c r="U23" i="13"/>
  <c r="T23" i="13"/>
  <c r="U22" i="13"/>
  <c r="T22" i="13"/>
  <c r="U21" i="13"/>
  <c r="T21" i="13"/>
  <c r="U20" i="13"/>
  <c r="T20" i="13"/>
  <c r="U19" i="13"/>
  <c r="T19" i="13"/>
  <c r="U18" i="13"/>
  <c r="T18" i="13"/>
  <c r="U17" i="13"/>
  <c r="T17" i="13"/>
  <c r="U16" i="13"/>
  <c r="T16" i="13"/>
  <c r="U15" i="13"/>
  <c r="T15" i="13"/>
  <c r="U14" i="13"/>
  <c r="T14" i="13"/>
  <c r="U13" i="13"/>
  <c r="T13" i="13"/>
  <c r="U12" i="13"/>
  <c r="T12" i="13"/>
  <c r="U11" i="13"/>
  <c r="T11" i="13"/>
  <c r="U10" i="13"/>
  <c r="T10" i="13"/>
  <c r="U9" i="13"/>
  <c r="T9" i="13"/>
  <c r="U8" i="13"/>
  <c r="T8" i="13"/>
  <c r="U7" i="13"/>
  <c r="T7" i="13"/>
  <c r="U6" i="13"/>
  <c r="T6" i="13"/>
  <c r="U5" i="13"/>
  <c r="T5" i="13"/>
  <c r="U4" i="13"/>
  <c r="T4" i="13"/>
  <c r="U3" i="13"/>
  <c r="T3" i="13"/>
  <c r="U2" i="13"/>
  <c r="T2" i="13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N3" i="3" l="1"/>
</calcChain>
</file>

<file path=xl/sharedStrings.xml><?xml version="1.0" encoding="utf-8"?>
<sst xmlns="http://schemas.openxmlformats.org/spreadsheetml/2006/main" count="386" uniqueCount="97">
  <si>
    <t>黑龙江</t>
  </si>
  <si>
    <t>吉林</t>
  </si>
  <si>
    <t>辽宁</t>
  </si>
  <si>
    <t>北京</t>
  </si>
  <si>
    <t>天津</t>
  </si>
  <si>
    <t>河北</t>
  </si>
  <si>
    <t>山西</t>
  </si>
  <si>
    <t>内蒙古</t>
  </si>
  <si>
    <t>新疆</t>
  </si>
  <si>
    <t>甘肃</t>
  </si>
  <si>
    <t>陕西</t>
  </si>
  <si>
    <t>宁夏</t>
  </si>
  <si>
    <t>青海</t>
  </si>
  <si>
    <t>河南</t>
  </si>
  <si>
    <t>湖北</t>
  </si>
  <si>
    <t>湖南</t>
  </si>
  <si>
    <t>上海</t>
  </si>
  <si>
    <t>江苏</t>
  </si>
  <si>
    <t>浙江</t>
  </si>
  <si>
    <t>山东</t>
  </si>
  <si>
    <t>安徽</t>
  </si>
  <si>
    <t>福建</t>
  </si>
  <si>
    <t>江西</t>
  </si>
  <si>
    <t>四川</t>
  </si>
  <si>
    <t>云南</t>
  </si>
  <si>
    <t>重庆</t>
  </si>
  <si>
    <t>贵州</t>
  </si>
  <si>
    <t>西藏</t>
  </si>
  <si>
    <t>广西</t>
  </si>
  <si>
    <t>广东</t>
  </si>
  <si>
    <t>海南</t>
  </si>
  <si>
    <t>DICE</t>
  </si>
  <si>
    <t>NGICE</t>
  </si>
  <si>
    <t>BEVF282</t>
  </si>
  <si>
    <t>BEVF510</t>
  </si>
  <si>
    <t>BEVE282</t>
  </si>
  <si>
    <t>BEVF600</t>
  </si>
  <si>
    <t>BEVF730</t>
  </si>
  <si>
    <t>BEVE510</t>
  </si>
  <si>
    <t>BEVU729</t>
  </si>
  <si>
    <t>PHEV</t>
  </si>
  <si>
    <t>BEVF800</t>
  </si>
  <si>
    <t>BEVF900</t>
  </si>
  <si>
    <t>EDPHEV</t>
  </si>
  <si>
    <t>ELPHEV</t>
  </si>
  <si>
    <t>FCEV</t>
  </si>
  <si>
    <t>MICE</t>
  </si>
  <si>
    <t>EDICE</t>
  </si>
  <si>
    <t>ELICE</t>
  </si>
  <si>
    <t>H2ICE70</t>
  </si>
  <si>
    <t>ED</t>
  </si>
  <si>
    <t>ELICE1</t>
  </si>
  <si>
    <t>基准甲醇价格</t>
  </si>
  <si>
    <t>充足甲醇价格</t>
  </si>
  <si>
    <t>假设公路运价为0.15元/吨公里，对于一辆总重49吨（载货34吨），</t>
  </si>
  <si>
    <t>2024年1月大宗商品-液氨价格分析：价格为3236.7元/吨，同比下降23.54%_智研咨询 (chyxx.com)</t>
  </si>
  <si>
    <t>福大紫金：全球首个氨现场制氢加氢一体站示范项目介绍-加氢站--国际氢能网 (in-en.com)</t>
  </si>
  <si>
    <t>甲醇汽车试点推广9年：加注站仍靠补贴生存，已有多家企业放弃研发_腾讯新闻 (qq.com)</t>
  </si>
  <si>
    <t>2024年中国LNG加气站建设情况分析 站点建设步伐放缓_研究报告 - 前瞻产业研究院</t>
  </si>
  <si>
    <t>400座加氢站</t>
  </si>
  <si>
    <t>1349座充电站</t>
  </si>
  <si>
    <t>车辆进出各5分钟，加油10分钟，一共20分钟加400L，1小时加1200L</t>
  </si>
  <si>
    <t>车辆进出各5分钟，加气10分钟，一共20分钟加1000L，1小时加3000L</t>
  </si>
  <si>
    <t>车辆进出各5分钟，加甲醇10分钟，一共20分钟加1000L，1小时加3000L</t>
  </si>
  <si>
    <t>车辆进出各5分钟，加氢气10分钟，一共20分钟加70kg，1小时加210L</t>
  </si>
  <si>
    <t>H2ICE35</t>
  </si>
  <si>
    <t>NH3ICE</t>
  </si>
  <si>
    <t>HNICE</t>
  </si>
  <si>
    <t>h_trailer_hws</t>
  </si>
  <si>
    <t>h_trailer_hwm</t>
  </si>
  <si>
    <t>h_trailer_hwl</t>
  </si>
  <si>
    <t>FCPHEV</t>
  </si>
  <si>
    <t>【2025年4月28日价格行情】竞拍在即，LNG观望氛围浓厚</t>
  </si>
  <si>
    <t>进口价格</t>
    <phoneticPr fontId="1" type="noConversion"/>
  </si>
  <si>
    <t>5060元/吨</t>
    <phoneticPr fontId="1" type="noConversion"/>
  </si>
  <si>
    <t>国内生产价格</t>
    <phoneticPr fontId="1" type="noConversion"/>
  </si>
  <si>
    <t>4381元/吨</t>
    <phoneticPr fontId="1" type="noConversion"/>
  </si>
  <si>
    <t>运价</t>
    <phoneticPr fontId="1" type="noConversion"/>
  </si>
  <si>
    <t>进口到站价格</t>
    <phoneticPr fontId="1" type="noConversion"/>
  </si>
  <si>
    <t>LNG与管道天然气每公里运输价格</t>
  </si>
  <si>
    <t>生意社：2024年成品油价格走低 2025年或难有起色</t>
  </si>
  <si>
    <t>柴油最低价是9月底的6501元/吨，最高价是4月中旬的7607.4元/吨，</t>
  </si>
  <si>
    <t>1kg柴油的体积大约在1.17 - 1.20升</t>
  </si>
  <si>
    <t>均价7418</t>
    <phoneticPr fontId="1" type="noConversion"/>
  </si>
  <si>
    <t>2024年中国成品油进口均价为607.32美元/吨，</t>
  </si>
  <si>
    <t>4380RMB/ton</t>
    <phoneticPr fontId="1" type="noConversion"/>
  </si>
  <si>
    <t>2024年原油进口均价约585美元/吨，</t>
    <phoneticPr fontId="1" type="noConversion"/>
  </si>
  <si>
    <t>4200座LNG,平均每个城市120座</t>
    <phoneticPr fontId="1" type="noConversion"/>
  </si>
  <si>
    <t>补能距离km</t>
    <phoneticPr fontId="1" type="noConversion"/>
  </si>
  <si>
    <t>LNG数量</t>
    <phoneticPr fontId="1" type="noConversion"/>
  </si>
  <si>
    <t>截至2024年底，中国煤制甲醇的产能占比为78.3%。所以现在甲醇价格约等于煤制甲醇价格</t>
    <phoneticPr fontId="1" type="noConversion"/>
  </si>
  <si>
    <t>现在煤制甲醇价格2755元/吨，2.755/1.263=2.18元/L，但实际为2.69，运输费0.5元</t>
    <phoneticPr fontId="1" type="noConversion"/>
  </si>
  <si>
    <t>12月，大宗商品公路运输运价继续下跌（12.2-12.8）</t>
  </si>
  <si>
    <t>乐观价格</t>
    <phoneticPr fontId="1" type="noConversion"/>
  </si>
  <si>
    <t>悲观价格</t>
    <phoneticPr fontId="1" type="noConversion"/>
  </si>
  <si>
    <t>BAU</t>
    <phoneticPr fontId="1" type="noConversion"/>
  </si>
  <si>
    <t>低约束（路孚特基线情景）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</si>
</sst>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0_);[Red]\(0.000\)"/>
    <numFmt numFmtId="177" formatCode="0.0000"/>
    <numFmt numFmtId="178" formatCode="0_);[Red]\(0\)"/>
    <numFmt numFmtId="179" formatCode="0.00_);[Red]\(0.00\)"/>
  </numFmts>
  <fonts count="11">
    <font>
      <sz val="11"/>
      <color theme="1"/>
      <name val="微软雅黑"/>
      <family val="2"/>
      <charset val="134"/>
    </font>
    <font>
      <sz val="9"/>
      <name val="微软雅黑"/>
      <family val="2"/>
      <charset val="134"/>
    </font>
    <font>
      <sz val="14"/>
      <color theme="1"/>
      <name val="Times New Roman"/>
      <family val="1"/>
    </font>
    <font>
      <u/>
      <sz val="11"/>
      <color theme="10"/>
      <name val="微软雅黑"/>
      <family val="2"/>
      <charset val="134"/>
    </font>
    <font>
      <sz val="11"/>
      <color rgb="FF222222"/>
      <name val="Arial"/>
      <family val="2"/>
    </font>
    <font>
      <sz val="11"/>
      <color theme="1"/>
      <name val="等线"/>
      <family val="2"/>
      <scheme val="minor"/>
    </font>
    <font>
      <sz val="10"/>
      <name val="Arial"/>
      <family val="2"/>
    </font>
    <font>
      <b/>
      <sz val="11"/>
      <name val="微软雅黑"/>
      <family val="2"/>
      <charset val="134"/>
    </font>
    <font>
      <sz val="10"/>
      <color theme="1"/>
      <name val="Microsoft YaHei UI"/>
      <family val="2"/>
      <charset val="134"/>
    </font>
    <font>
      <sz val="9"/>
      <color theme="1"/>
      <name val="Arial"/>
      <family val="2"/>
    </font>
    <font>
      <sz val="10"/>
      <color rgb="FF40404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6" fillId="0" borderId="0"/>
  </cellStyleXfs>
  <cellXfs count="17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/>
    <xf numFmtId="177" fontId="0" fillId="0" borderId="0" xfId="0" applyNumberFormat="1">
      <alignment vertical="center"/>
    </xf>
    <xf numFmtId="0" fontId="2" fillId="0" borderId="0" xfId="0" applyFont="1">
      <alignment vertical="center"/>
    </xf>
    <xf numFmtId="0" fontId="3" fillId="0" borderId="0" xfId="1">
      <alignment vertical="center"/>
    </xf>
    <xf numFmtId="178" fontId="0" fillId="0" borderId="0" xfId="0" applyNumberFormat="1">
      <alignment vertical="center"/>
    </xf>
    <xf numFmtId="0" fontId="4" fillId="0" borderId="0" xfId="0" applyFont="1">
      <alignment vertical="center"/>
    </xf>
    <xf numFmtId="0" fontId="0" fillId="2" borderId="0" xfId="0" applyFill="1">
      <alignment vertical="center"/>
    </xf>
    <xf numFmtId="0" fontId="3" fillId="2" borderId="0" xfId="1" applyFill="1">
      <alignment vertical="center"/>
    </xf>
    <xf numFmtId="179" fontId="0" fillId="0" borderId="0" xfId="0" applyNumberFormat="1">
      <alignment vertical="center"/>
    </xf>
    <xf numFmtId="179" fontId="0" fillId="2" borderId="0" xfId="0" applyNumberFormat="1" applyFill="1">
      <alignment vertical="center"/>
    </xf>
    <xf numFmtId="0" fontId="7" fillId="0" borderId="1" xfId="0" applyFont="1" applyBorder="1" applyAlignment="1">
      <alignment horizontal="center" vertical="top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0" fillId="3" borderId="0" xfId="0" applyFill="1">
      <alignment vertical="center"/>
    </xf>
  </cellXfs>
  <cellStyles count="6">
    <cellStyle name="Normal 2 2 2" xfId="3" xr:uid="{00000000-0005-0000-0000-000003000000}"/>
    <cellStyle name="Normal 2 4" xfId="4" xr:uid="{00000000-0005-0000-0000-000004000000}"/>
    <cellStyle name="Normal_ConsumerShare" xfId="5" xr:uid="{00000000-0005-0000-0000-000005000000}"/>
    <cellStyle name="常规" xfId="0" builtinId="0"/>
    <cellStyle name="常规 2" xfId="2" xr:uid="{00000000-0005-0000-0000-000002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38</xdr:col>
      <xdr:colOff>366884</xdr:colOff>
      <xdr:row>36</xdr:row>
      <xdr:rowOff>35407</xdr:rowOff>
    </xdr:from>
    <xdr:to>
      <xdr:col>51</xdr:col>
      <xdr:colOff>703016</xdr:colOff>
      <xdr:row>75</xdr:row>
      <xdr:rowOff>17697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51627" y="7176436"/>
          <a:ext cx="9817589" cy="7624061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53</xdr:col>
      <xdr:colOff>249327</xdr:colOff>
      <xdr:row>61</xdr:row>
      <xdr:rowOff>175904</xdr:rowOff>
    </xdr:from>
    <xdr:to>
      <xdr:col>61</xdr:col>
      <xdr:colOff>667740</xdr:colOff>
      <xdr:row>76</xdr:row>
      <xdr:rowOff>78642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35796627" y="11891654"/>
          <a:ext cx="6209613" cy="2760238"/>
        </a:xfrm>
        <a:prstGeom prst="rect">
          <a:avLst/>
        </a:prstGeom>
        <a:noFill/>
        <a:ln>
          <a:prstDash val="solid"/>
        </a:ln>
      </xdr:spPr>
    </xdr:pic>
    <xdr:clientData/>
  </xdr:twoCellAnchor>
  <xdr:twoCellAnchor editAs="oneCell">
    <xdr:from>
      <xdr:col>28</xdr:col>
      <xdr:colOff>411794</xdr:colOff>
      <xdr:row>44</xdr:row>
      <xdr:rowOff>30532</xdr:rowOff>
    </xdr:from>
    <xdr:to>
      <xdr:col>37</xdr:col>
      <xdr:colOff>221182</xdr:colOff>
      <xdr:row>60</xdr:row>
      <xdr:rowOff>8411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861594" y="8507782"/>
          <a:ext cx="6324488" cy="302587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726141</xdr:colOff>
      <xdr:row>7</xdr:row>
      <xdr:rowOff>107576</xdr:rowOff>
    </xdr:from>
    <xdr:to>
      <xdr:col>30</xdr:col>
      <xdr:colOff>432513</xdr:colOff>
      <xdr:row>15</xdr:row>
      <xdr:rowOff>196896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428259" y="1488141"/>
          <a:ext cx="7792537" cy="1667108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20</xdr:col>
      <xdr:colOff>17929</xdr:colOff>
      <xdr:row>16</xdr:row>
      <xdr:rowOff>116542</xdr:rowOff>
    </xdr:from>
    <xdr:to>
      <xdr:col>30</xdr:col>
      <xdr:colOff>592776</xdr:colOff>
      <xdr:row>25</xdr:row>
      <xdr:rowOff>56269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455153" y="3272118"/>
          <a:ext cx="7925906" cy="1714739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new.qq.com/rain/a/20210924A05MUD00" TargetMode="External"/><Relationship Id="rId7" Type="http://schemas.openxmlformats.org/officeDocument/2006/relationships/hyperlink" Target="https://www.huaon.com/channel/tradedata/1056232.html" TargetMode="External"/><Relationship Id="rId2" Type="http://schemas.openxmlformats.org/officeDocument/2006/relationships/hyperlink" Target="https://h2.in-en.com/html/h2-2430438.shtml" TargetMode="External"/><Relationship Id="rId1" Type="http://schemas.openxmlformats.org/officeDocument/2006/relationships/hyperlink" Target="https://www.chyxx.com/shuju/1175093.html" TargetMode="External"/><Relationship Id="rId6" Type="http://schemas.openxmlformats.org/officeDocument/2006/relationships/hyperlink" Target="https://mp.weixin.qq.com/s/H3122spLjVGRVGzmtzjYnw" TargetMode="External"/><Relationship Id="rId5" Type="http://schemas.openxmlformats.org/officeDocument/2006/relationships/hyperlink" Target="https://mp.weixin.qq.com/s/Jk1qbY4m3eRsBIlUu1Tz7Q" TargetMode="External"/><Relationship Id="rId4" Type="http://schemas.openxmlformats.org/officeDocument/2006/relationships/hyperlink" Target="https://mp.weixin.qq.com/s/LS6F7tO_IfpvyIbF9inp5w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hyperlink" Target="https://mp.weixin.qq.com/s/H3122spLjVGRVGzmtzjYnw" TargetMode="External"/><Relationship Id="rId1" Type="http://schemas.openxmlformats.org/officeDocument/2006/relationships/hyperlink" Target="https://bg.qianzhan.com/report/detail/300/240722-daea6cf5.html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A1:AF20"/>
  <sheetViews>
    <sheetView zoomScale="115" zoomScaleNormal="115" workbookViewId="0">
      <selection activeCell="R22" sqref="R22"/>
    </sheetView>
  </sheetViews>
  <sheetFormatPr defaultRowHeight="15.6"/>
  <sheetData>
    <row r="1" spans="1:3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 t="s">
        <v>31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</row>
    <row r="3" spans="1:32">
      <c r="A3" t="s">
        <v>32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</row>
    <row r="4" spans="1:32" hidden="1">
      <c r="A4" t="s">
        <v>33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</row>
    <row r="5" spans="1:32">
      <c r="A5" t="s">
        <v>34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</row>
    <row r="6" spans="1:32" hidden="1">
      <c r="A6" t="s">
        <v>35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</row>
    <row r="7" spans="1:32">
      <c r="A7" t="s">
        <v>36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</row>
    <row r="8" spans="1:32">
      <c r="A8" t="s">
        <v>37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</row>
    <row r="9" spans="1:32">
      <c r="A9" t="s">
        <v>38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</row>
    <row r="10" spans="1:32" hidden="1">
      <c r="A10" t="s">
        <v>39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3">
        <v>1</v>
      </c>
      <c r="AE10" s="3">
        <v>1</v>
      </c>
      <c r="AF10" s="3">
        <v>1</v>
      </c>
    </row>
    <row r="11" spans="1:32" hidden="1">
      <c r="A11" t="s">
        <v>40</v>
      </c>
      <c r="B11" s="3">
        <v>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</row>
    <row r="12" spans="1:32">
      <c r="A12" t="s">
        <v>41</v>
      </c>
      <c r="B12" s="3"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>
        <v>1</v>
      </c>
      <c r="AE12" s="3">
        <v>1</v>
      </c>
      <c r="AF12" s="3">
        <v>1</v>
      </c>
    </row>
    <row r="13" spans="1:32">
      <c r="A13" t="s">
        <v>42</v>
      </c>
      <c r="B13" s="3">
        <v>1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">
        <v>1</v>
      </c>
      <c r="AE13" s="3">
        <v>1</v>
      </c>
      <c r="AF13" s="3">
        <v>1</v>
      </c>
    </row>
    <row r="14" spans="1:32">
      <c r="A14" t="s">
        <v>43</v>
      </c>
      <c r="B14" s="3">
        <v>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">
        <v>1</v>
      </c>
      <c r="AE14" s="3">
        <v>1</v>
      </c>
      <c r="AF14" s="3">
        <v>1</v>
      </c>
    </row>
    <row r="15" spans="1:32">
      <c r="A15" t="s">
        <v>44</v>
      </c>
      <c r="B15" s="3">
        <v>1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  <c r="Y15" s="3">
        <v>1</v>
      </c>
      <c r="Z15" s="3">
        <v>1</v>
      </c>
      <c r="AA15" s="3">
        <v>1</v>
      </c>
      <c r="AB15" s="3">
        <v>1</v>
      </c>
      <c r="AC15" s="3">
        <v>1</v>
      </c>
      <c r="AD15" s="3">
        <v>1</v>
      </c>
      <c r="AE15" s="3">
        <v>1</v>
      </c>
      <c r="AF15" s="3">
        <v>1</v>
      </c>
    </row>
    <row r="16" spans="1:32">
      <c r="A16" t="s">
        <v>45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3">
        <v>1</v>
      </c>
    </row>
    <row r="17" spans="1:32">
      <c r="A17" t="s">
        <v>46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">
        <v>1</v>
      </c>
      <c r="AD17" s="3">
        <v>1</v>
      </c>
      <c r="AE17" s="3">
        <v>1</v>
      </c>
      <c r="AF17" s="3">
        <v>1</v>
      </c>
    </row>
    <row r="18" spans="1:32" hidden="1">
      <c r="A18" t="s">
        <v>47</v>
      </c>
      <c r="B18" s="3">
        <f t="shared" ref="B18:AF18" si="0">B2</f>
        <v>1</v>
      </c>
      <c r="C18" s="3">
        <f t="shared" si="0"/>
        <v>1</v>
      </c>
      <c r="D18" s="3">
        <f t="shared" si="0"/>
        <v>1</v>
      </c>
      <c r="E18" s="3">
        <f t="shared" si="0"/>
        <v>1</v>
      </c>
      <c r="F18" s="3">
        <f t="shared" si="0"/>
        <v>1</v>
      </c>
      <c r="G18" s="3">
        <f t="shared" si="0"/>
        <v>1</v>
      </c>
      <c r="H18" s="3">
        <f t="shared" si="0"/>
        <v>1</v>
      </c>
      <c r="I18" s="3">
        <f t="shared" si="0"/>
        <v>1</v>
      </c>
      <c r="J18" s="3">
        <f t="shared" si="0"/>
        <v>1</v>
      </c>
      <c r="K18" s="3">
        <f t="shared" si="0"/>
        <v>1</v>
      </c>
      <c r="L18" s="3">
        <f t="shared" si="0"/>
        <v>1</v>
      </c>
      <c r="M18" s="3">
        <f t="shared" si="0"/>
        <v>1</v>
      </c>
      <c r="N18" s="3">
        <f t="shared" si="0"/>
        <v>1</v>
      </c>
      <c r="O18" s="3">
        <f t="shared" si="0"/>
        <v>1</v>
      </c>
      <c r="P18" s="3">
        <f t="shared" si="0"/>
        <v>1</v>
      </c>
      <c r="Q18" s="3">
        <f t="shared" si="0"/>
        <v>1</v>
      </c>
      <c r="R18" s="3">
        <f t="shared" si="0"/>
        <v>1</v>
      </c>
      <c r="S18" s="3">
        <f t="shared" si="0"/>
        <v>1</v>
      </c>
      <c r="T18" s="3">
        <f t="shared" si="0"/>
        <v>1</v>
      </c>
      <c r="U18" s="3">
        <f t="shared" si="0"/>
        <v>1</v>
      </c>
      <c r="V18" s="3">
        <f t="shared" si="0"/>
        <v>1</v>
      </c>
      <c r="W18" s="3">
        <f t="shared" si="0"/>
        <v>1</v>
      </c>
      <c r="X18" s="3">
        <f t="shared" si="0"/>
        <v>1</v>
      </c>
      <c r="Y18" s="3">
        <f t="shared" si="0"/>
        <v>1</v>
      </c>
      <c r="Z18" s="3">
        <f t="shared" si="0"/>
        <v>1</v>
      </c>
      <c r="AA18" s="3">
        <f t="shared" si="0"/>
        <v>1</v>
      </c>
      <c r="AB18" s="3">
        <f t="shared" si="0"/>
        <v>1</v>
      </c>
      <c r="AC18" s="3">
        <f t="shared" si="0"/>
        <v>1</v>
      </c>
      <c r="AD18" s="3">
        <f t="shared" si="0"/>
        <v>1</v>
      </c>
      <c r="AE18" s="3">
        <f t="shared" si="0"/>
        <v>1</v>
      </c>
      <c r="AF18" s="3">
        <f t="shared" si="0"/>
        <v>1</v>
      </c>
    </row>
    <row r="19" spans="1:32" hidden="1">
      <c r="A19" t="s">
        <v>48</v>
      </c>
      <c r="B19" s="3">
        <v>1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  <c r="AD19" s="3">
        <v>1</v>
      </c>
      <c r="AE19" s="3">
        <v>1</v>
      </c>
      <c r="AF19" s="3">
        <v>1</v>
      </c>
    </row>
    <row r="20" spans="1:32">
      <c r="A20" t="s">
        <v>49</v>
      </c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1</v>
      </c>
      <c r="Z20" s="3">
        <v>1</v>
      </c>
      <c r="AA20" s="3">
        <v>1</v>
      </c>
      <c r="AB20" s="3">
        <v>1</v>
      </c>
      <c r="AC20" s="3">
        <v>1</v>
      </c>
      <c r="AD20" s="3">
        <v>1</v>
      </c>
      <c r="AE20" s="3">
        <v>1</v>
      </c>
      <c r="AF20" s="3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4"/>
  <sheetViews>
    <sheetView workbookViewId="0">
      <selection activeCell="E25" sqref="E25"/>
    </sheetView>
  </sheetViews>
  <sheetFormatPr defaultRowHeight="15.6"/>
  <sheetData>
    <row r="1" spans="1:2">
      <c r="A1">
        <v>0</v>
      </c>
      <c r="B1" t="s">
        <v>50</v>
      </c>
    </row>
    <row r="2" spans="1:2">
      <c r="A2">
        <v>2018</v>
      </c>
      <c r="B2">
        <v>7.5357969260816029</v>
      </c>
    </row>
    <row r="3" spans="1:2">
      <c r="A3">
        <v>2019</v>
      </c>
      <c r="B3">
        <v>7.5357969260816029</v>
      </c>
    </row>
    <row r="4" spans="1:2">
      <c r="A4">
        <v>2020</v>
      </c>
      <c r="B4">
        <v>7.5357969260816029</v>
      </c>
    </row>
    <row r="5" spans="1:2">
      <c r="A5">
        <v>2021</v>
      </c>
      <c r="B5">
        <v>7.5357969260816029</v>
      </c>
    </row>
    <row r="6" spans="1:2">
      <c r="A6">
        <v>2022</v>
      </c>
      <c r="B6">
        <v>7.5357969260816029</v>
      </c>
    </row>
    <row r="7" spans="1:2">
      <c r="A7">
        <v>2023</v>
      </c>
      <c r="B7">
        <v>7.5357969260816029</v>
      </c>
    </row>
    <row r="8" spans="1:2">
      <c r="A8">
        <v>2024</v>
      </c>
      <c r="B8">
        <v>7.5357969260816029</v>
      </c>
    </row>
    <row r="9" spans="1:2">
      <c r="A9">
        <v>2025</v>
      </c>
      <c r="B9">
        <v>7.5357969260816029</v>
      </c>
    </row>
    <row r="10" spans="1:2">
      <c r="A10">
        <v>2026</v>
      </c>
      <c r="B10">
        <v>7.5357969260816029</v>
      </c>
    </row>
    <row r="11" spans="1:2">
      <c r="A11">
        <v>2027</v>
      </c>
      <c r="B11">
        <v>7.5357969260816029</v>
      </c>
    </row>
    <row r="12" spans="1:2">
      <c r="A12">
        <v>2028</v>
      </c>
      <c r="B12">
        <v>7.5357969260816029</v>
      </c>
    </row>
    <row r="13" spans="1:2">
      <c r="A13">
        <v>2029</v>
      </c>
      <c r="B13">
        <v>7.5357969260816029</v>
      </c>
    </row>
    <row r="14" spans="1:2">
      <c r="A14">
        <v>2030</v>
      </c>
      <c r="B14">
        <v>7.5357969260816029</v>
      </c>
    </row>
    <row r="15" spans="1:2">
      <c r="A15">
        <v>2031</v>
      </c>
      <c r="B15">
        <v>7.5357969260816029</v>
      </c>
    </row>
    <row r="16" spans="1:2">
      <c r="A16">
        <v>2032</v>
      </c>
      <c r="B16">
        <v>7.5357969260816029</v>
      </c>
    </row>
    <row r="17" spans="1:2">
      <c r="A17">
        <v>2033</v>
      </c>
      <c r="B17">
        <v>7.5357969260816029</v>
      </c>
    </row>
    <row r="18" spans="1:2">
      <c r="A18">
        <v>2034</v>
      </c>
      <c r="B18">
        <v>7.5357969260816029</v>
      </c>
    </row>
    <row r="19" spans="1:2">
      <c r="A19">
        <v>2035</v>
      </c>
      <c r="B19">
        <v>7.5357969260816029</v>
      </c>
    </row>
    <row r="20" spans="1:2">
      <c r="A20">
        <v>2036</v>
      </c>
      <c r="B20">
        <v>7.5357969260816029</v>
      </c>
    </row>
    <row r="21" spans="1:2">
      <c r="A21">
        <v>2037</v>
      </c>
      <c r="B21">
        <v>7.5357969260816029</v>
      </c>
    </row>
    <row r="22" spans="1:2">
      <c r="A22">
        <v>2038</v>
      </c>
      <c r="B22">
        <v>7.5357969260816029</v>
      </c>
    </row>
    <row r="23" spans="1:2">
      <c r="A23">
        <v>2039</v>
      </c>
      <c r="B23">
        <v>7.5357969260816029</v>
      </c>
    </row>
    <row r="24" spans="1:2">
      <c r="A24">
        <v>2040</v>
      </c>
      <c r="B24">
        <v>7.5357969260816029</v>
      </c>
    </row>
    <row r="25" spans="1:2">
      <c r="A25">
        <v>2041</v>
      </c>
      <c r="B25">
        <v>7.5357969260816002</v>
      </c>
    </row>
    <row r="26" spans="1:2">
      <c r="A26">
        <v>2042</v>
      </c>
      <c r="B26">
        <v>7.5357969260816002</v>
      </c>
    </row>
    <row r="27" spans="1:2">
      <c r="A27">
        <v>2043</v>
      </c>
      <c r="B27">
        <v>7.5357969260816002</v>
      </c>
    </row>
    <row r="28" spans="1:2">
      <c r="A28">
        <v>2044</v>
      </c>
      <c r="B28">
        <v>7.5357969260816002</v>
      </c>
    </row>
    <row r="29" spans="1:2">
      <c r="A29">
        <v>2045</v>
      </c>
      <c r="B29">
        <v>7.5357969260816002</v>
      </c>
    </row>
    <row r="30" spans="1:2">
      <c r="A30">
        <v>2046</v>
      </c>
      <c r="B30">
        <v>7.5357969260816002</v>
      </c>
    </row>
    <row r="31" spans="1:2">
      <c r="A31">
        <v>2047</v>
      </c>
      <c r="B31">
        <v>7.5357969260816002</v>
      </c>
    </row>
    <row r="32" spans="1:2">
      <c r="A32">
        <v>2048</v>
      </c>
      <c r="B32">
        <v>7.5357969260816002</v>
      </c>
    </row>
    <row r="33" spans="1:2">
      <c r="A33">
        <v>2049</v>
      </c>
      <c r="B33">
        <v>7.5357969260816002</v>
      </c>
    </row>
    <row r="34" spans="1:2">
      <c r="A34">
        <v>2050</v>
      </c>
      <c r="B34">
        <v>7.5357969260816002</v>
      </c>
    </row>
    <row r="35" spans="1:2">
      <c r="A35">
        <v>2051</v>
      </c>
      <c r="B35">
        <v>7.5357969260816002</v>
      </c>
    </row>
    <row r="36" spans="1:2">
      <c r="A36">
        <v>2052</v>
      </c>
      <c r="B36">
        <v>7.5357969260816002</v>
      </c>
    </row>
    <row r="37" spans="1:2">
      <c r="A37">
        <v>2053</v>
      </c>
      <c r="B37">
        <v>7.5357969260816002</v>
      </c>
    </row>
    <row r="38" spans="1:2">
      <c r="A38">
        <v>2054</v>
      </c>
      <c r="B38">
        <v>7.5357969260816002</v>
      </c>
    </row>
    <row r="39" spans="1:2">
      <c r="A39">
        <v>2055</v>
      </c>
      <c r="B39">
        <v>7.5357969260816002</v>
      </c>
    </row>
    <row r="40" spans="1:2">
      <c r="A40">
        <v>2056</v>
      </c>
      <c r="B40">
        <v>7.5357969260816002</v>
      </c>
    </row>
    <row r="41" spans="1:2">
      <c r="A41">
        <v>2057</v>
      </c>
      <c r="B41">
        <v>7.5357969260816002</v>
      </c>
    </row>
    <row r="42" spans="1:2">
      <c r="A42">
        <v>2058</v>
      </c>
      <c r="B42">
        <v>7.5357969260816002</v>
      </c>
    </row>
    <row r="43" spans="1:2">
      <c r="A43">
        <v>2059</v>
      </c>
      <c r="B43">
        <v>7.5357969260816002</v>
      </c>
    </row>
    <row r="44" spans="1:2">
      <c r="A44">
        <v>2060</v>
      </c>
      <c r="B44">
        <v>7.5357969260816002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50278-4F97-42B3-9092-0534D39C0809}">
  <dimension ref="A1:S44"/>
  <sheetViews>
    <sheetView workbookViewId="0">
      <selection activeCell="O11" sqref="O11"/>
    </sheetView>
  </sheetViews>
  <sheetFormatPr defaultRowHeight="15.6"/>
  <sheetData>
    <row r="1" spans="1:19">
      <c r="B1" t="s">
        <v>31</v>
      </c>
      <c r="C1" t="s">
        <v>32</v>
      </c>
      <c r="D1" t="s">
        <v>33</v>
      </c>
      <c r="E1" t="s">
        <v>34</v>
      </c>
      <c r="F1" t="s">
        <v>36</v>
      </c>
      <c r="G1" t="s">
        <v>37</v>
      </c>
      <c r="H1" t="s">
        <v>38</v>
      </c>
      <c r="I1" t="s">
        <v>41</v>
      </c>
      <c r="J1" t="s">
        <v>42</v>
      </c>
      <c r="K1" t="s">
        <v>40</v>
      </c>
      <c r="L1" t="s">
        <v>43</v>
      </c>
      <c r="M1" t="s">
        <v>44</v>
      </c>
      <c r="N1" t="s">
        <v>45</v>
      </c>
      <c r="O1" t="s">
        <v>46</v>
      </c>
      <c r="P1" t="s">
        <v>49</v>
      </c>
      <c r="Q1" t="s">
        <v>47</v>
      </c>
      <c r="R1" t="s">
        <v>48</v>
      </c>
      <c r="S1" t="s">
        <v>51</v>
      </c>
    </row>
    <row r="2" spans="1:19">
      <c r="A2">
        <v>2018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</row>
    <row r="3" spans="1:19">
      <c r="A3">
        <v>2019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</row>
    <row r="4" spans="1:19">
      <c r="A4">
        <v>2020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</row>
    <row r="5" spans="1:19">
      <c r="A5">
        <v>2021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</row>
    <row r="6" spans="1:19">
      <c r="A6">
        <v>2022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</row>
    <row r="7" spans="1:19">
      <c r="A7">
        <v>2023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</row>
    <row r="8" spans="1:19">
      <c r="A8">
        <v>2024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</row>
    <row r="9" spans="1:19">
      <c r="A9">
        <v>2025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</row>
    <row r="10" spans="1:19">
      <c r="A10">
        <v>2026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</row>
    <row r="11" spans="1:19">
      <c r="A11">
        <v>2027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</row>
    <row r="12" spans="1:19">
      <c r="A12">
        <v>2028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</row>
    <row r="13" spans="1:19">
      <c r="A13">
        <v>2029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</row>
    <row r="14" spans="1:19">
      <c r="A14">
        <v>2030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</row>
    <row r="15" spans="1:19">
      <c r="A15">
        <v>2031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</row>
    <row r="16" spans="1:19">
      <c r="A16">
        <v>2032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</row>
    <row r="17" spans="1:19">
      <c r="A17">
        <v>2033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</row>
    <row r="18" spans="1:19">
      <c r="A18">
        <v>2034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</row>
    <row r="19" spans="1:19">
      <c r="A19">
        <v>2035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</row>
    <row r="20" spans="1:19">
      <c r="A20">
        <v>2036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</row>
    <row r="21" spans="1:19">
      <c r="A21">
        <v>2037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</row>
    <row r="22" spans="1:19">
      <c r="A22">
        <v>2038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</row>
    <row r="23" spans="1:19">
      <c r="A23">
        <v>2039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</row>
    <row r="24" spans="1:19">
      <c r="A24">
        <v>2040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</row>
    <row r="25" spans="1:19">
      <c r="A25">
        <v>2041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</row>
    <row r="26" spans="1:19">
      <c r="A26">
        <v>2042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</row>
    <row r="27" spans="1:19">
      <c r="A27">
        <v>2043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</row>
    <row r="28" spans="1:19">
      <c r="A28">
        <v>2044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</row>
    <row r="29" spans="1:19">
      <c r="A29">
        <v>2045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</row>
    <row r="30" spans="1:19">
      <c r="A30">
        <v>2046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</row>
    <row r="31" spans="1:19">
      <c r="A31">
        <v>2047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</row>
    <row r="32" spans="1:19">
      <c r="A32">
        <v>2048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</row>
    <row r="33" spans="1:19">
      <c r="A33">
        <v>2049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</row>
    <row r="34" spans="1:19">
      <c r="A34">
        <v>2050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</row>
    <row r="35" spans="1:19">
      <c r="A35">
        <v>2051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</row>
    <row r="36" spans="1:19">
      <c r="A36">
        <v>2052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</row>
    <row r="37" spans="1:19">
      <c r="A37">
        <v>2053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</row>
    <row r="38" spans="1:19">
      <c r="A38">
        <v>2054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</row>
    <row r="39" spans="1:19">
      <c r="A39">
        <v>2055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</row>
    <row r="40" spans="1:19">
      <c r="A40">
        <v>2056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</row>
    <row r="41" spans="1:19">
      <c r="A41">
        <v>2057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</row>
    <row r="42" spans="1:19">
      <c r="A42">
        <v>2058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</row>
    <row r="43" spans="1:19">
      <c r="A43">
        <v>2059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</row>
    <row r="44" spans="1:19">
      <c r="A44">
        <v>2060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BE45"/>
  <sheetViews>
    <sheetView zoomScale="55" zoomScaleNormal="55" workbookViewId="0">
      <selection activeCell="R53" sqref="R53"/>
    </sheetView>
  </sheetViews>
  <sheetFormatPr defaultRowHeight="15.6"/>
  <cols>
    <col min="2" max="3" width="8.7265625" style="2" customWidth="1"/>
    <col min="4" max="4" width="8.7265625" style="2" hidden="1" customWidth="1"/>
    <col min="5" max="13" width="8.7265625" style="2" customWidth="1"/>
    <col min="14" max="14" width="9.1796875" style="2" bestFit="1" customWidth="1"/>
    <col min="16" max="16" width="9.1796875" style="2" bestFit="1" customWidth="1"/>
  </cols>
  <sheetData>
    <row r="1" spans="1:42">
      <c r="B1" t="s">
        <v>31</v>
      </c>
      <c r="C1" t="s">
        <v>32</v>
      </c>
      <c r="D1" t="s">
        <v>33</v>
      </c>
      <c r="E1" t="s">
        <v>34</v>
      </c>
      <c r="F1" t="s">
        <v>36</v>
      </c>
      <c r="G1" t="s">
        <v>37</v>
      </c>
      <c r="H1" t="s">
        <v>38</v>
      </c>
      <c r="I1" t="s">
        <v>41</v>
      </c>
      <c r="J1" t="s">
        <v>42</v>
      </c>
      <c r="K1" t="s">
        <v>40</v>
      </c>
      <c r="L1" t="s">
        <v>43</v>
      </c>
      <c r="M1" t="s">
        <v>44</v>
      </c>
      <c r="N1" t="s">
        <v>45</v>
      </c>
      <c r="O1" t="s">
        <v>46</v>
      </c>
      <c r="P1" t="s">
        <v>49</v>
      </c>
      <c r="Q1" t="s">
        <v>47</v>
      </c>
      <c r="R1" t="s">
        <v>48</v>
      </c>
      <c r="S1" t="s">
        <v>51</v>
      </c>
      <c r="U1" t="s">
        <v>52</v>
      </c>
      <c r="V1" t="s">
        <v>53</v>
      </c>
      <c r="AI1" s="5"/>
      <c r="AJ1" s="5" t="s">
        <v>72</v>
      </c>
    </row>
    <row r="2" spans="1:42">
      <c r="A2">
        <v>2018</v>
      </c>
      <c r="B2" s="10">
        <v>7.54</v>
      </c>
      <c r="C2" s="10">
        <v>3.2</v>
      </c>
      <c r="D2" s="10">
        <v>1.5</v>
      </c>
      <c r="E2" s="10">
        <v>1.5</v>
      </c>
      <c r="F2" s="10">
        <v>1.5</v>
      </c>
      <c r="G2" s="10">
        <v>1.5</v>
      </c>
      <c r="H2" s="10">
        <v>1.5</v>
      </c>
      <c r="I2" s="10">
        <v>1.5</v>
      </c>
      <c r="J2" s="10">
        <v>1.5</v>
      </c>
      <c r="K2" s="10">
        <v>1.5</v>
      </c>
      <c r="L2" s="10" t="e">
        <v>#REF!</v>
      </c>
      <c r="M2" s="10" t="e">
        <v>#REF!</v>
      </c>
      <c r="N2" s="10">
        <v>60</v>
      </c>
      <c r="O2" s="10">
        <v>2.9119999999999999</v>
      </c>
      <c r="P2" s="10">
        <v>60</v>
      </c>
      <c r="Q2">
        <v>25.736409599999998</v>
      </c>
      <c r="R2" s="10">
        <v>10.928706217515209</v>
      </c>
      <c r="S2" s="10">
        <v>10.928706217515209</v>
      </c>
      <c r="T2" s="10"/>
      <c r="U2" s="10">
        <v>2.9119999999999999</v>
      </c>
      <c r="V2" s="10">
        <v>2.9119999999999999</v>
      </c>
      <c r="W2" s="10"/>
      <c r="X2" s="10">
        <f>Q2/1.2</f>
        <v>21.447008</v>
      </c>
      <c r="Y2" s="10"/>
      <c r="Z2" s="7" t="s">
        <v>54</v>
      </c>
      <c r="AJ2" t="s">
        <v>73</v>
      </c>
      <c r="AK2" t="s">
        <v>75</v>
      </c>
      <c r="AM2" t="s">
        <v>73</v>
      </c>
      <c r="AN2" t="s">
        <v>78</v>
      </c>
    </row>
    <row r="3" spans="1:42">
      <c r="A3">
        <v>2019</v>
      </c>
      <c r="B3" s="10">
        <v>7.54</v>
      </c>
      <c r="C3" s="10">
        <v>3.2</v>
      </c>
      <c r="D3" s="10">
        <v>1.49</v>
      </c>
      <c r="E3" s="10">
        <v>1.49</v>
      </c>
      <c r="F3" s="10">
        <v>1.49</v>
      </c>
      <c r="G3" s="10">
        <v>1.49</v>
      </c>
      <c r="H3" s="10">
        <v>1.49</v>
      </c>
      <c r="I3" s="10">
        <v>1.49</v>
      </c>
      <c r="J3" s="10">
        <v>1.49</v>
      </c>
      <c r="K3" s="10">
        <v>1.49</v>
      </c>
      <c r="L3" s="10" t="e">
        <v>#REF!</v>
      </c>
      <c r="M3" s="10" t="e">
        <v>#REF!</v>
      </c>
      <c r="N3" s="10">
        <v>58</v>
      </c>
      <c r="O3" s="10">
        <v>2.88</v>
      </c>
      <c r="P3" s="10">
        <v>58</v>
      </c>
      <c r="Q3">
        <v>25.736409599999998</v>
      </c>
      <c r="R3" s="10">
        <v>10.928706217515209</v>
      </c>
      <c r="S3" s="10">
        <v>10.928706217515209</v>
      </c>
      <c r="T3" s="10"/>
      <c r="U3" s="10">
        <v>2.88</v>
      </c>
      <c r="V3" s="10">
        <v>2.88</v>
      </c>
      <c r="W3" s="10"/>
      <c r="X3" s="10">
        <f t="shared" ref="X3:X44" si="0">Q3/1.2</f>
        <v>21.447008</v>
      </c>
      <c r="Y3" s="10"/>
      <c r="AJ3" t="s">
        <v>74</v>
      </c>
      <c r="AK3" t="s">
        <v>76</v>
      </c>
      <c r="AL3">
        <f>5060/4381</f>
        <v>1.1549874457886327</v>
      </c>
      <c r="AM3">
        <f>AL3*(3.2-0.8)</f>
        <v>2.7719698698927187</v>
      </c>
      <c r="AN3">
        <f>AM3+AJ5</f>
        <v>3.5719698698927189</v>
      </c>
    </row>
    <row r="4" spans="1:42" s="8" customFormat="1">
      <c r="A4" s="8">
        <v>2020</v>
      </c>
      <c r="B4" s="10">
        <v>7.54</v>
      </c>
      <c r="C4" s="10">
        <v>3.2</v>
      </c>
      <c r="D4" s="11">
        <v>1.48</v>
      </c>
      <c r="E4" s="11">
        <v>1.48</v>
      </c>
      <c r="F4" s="11">
        <v>1.48</v>
      </c>
      <c r="G4" s="11">
        <v>1.48</v>
      </c>
      <c r="H4" s="11">
        <v>1.48</v>
      </c>
      <c r="I4" s="11">
        <v>1.48</v>
      </c>
      <c r="J4" s="11">
        <v>1.48</v>
      </c>
      <c r="K4" s="11">
        <v>1.48</v>
      </c>
      <c r="L4" s="11" t="e">
        <v>#REF!</v>
      </c>
      <c r="M4" s="11" t="e">
        <v>#REF!</v>
      </c>
      <c r="N4" s="11">
        <v>56</v>
      </c>
      <c r="O4" s="10">
        <v>2.8479999999999999</v>
      </c>
      <c r="P4" s="10">
        <v>56</v>
      </c>
      <c r="Q4">
        <v>25.736409599999998</v>
      </c>
      <c r="R4">
        <v>10.928706217515208</v>
      </c>
      <c r="S4" s="11">
        <v>10.928706217515209</v>
      </c>
      <c r="T4" s="11"/>
      <c r="U4" s="11">
        <v>2.8479999999999999</v>
      </c>
      <c r="V4" s="10">
        <v>2.8479999999999999</v>
      </c>
      <c r="W4" s="10"/>
      <c r="X4" s="10">
        <f t="shared" si="0"/>
        <v>21.447008</v>
      </c>
      <c r="Y4" s="10"/>
      <c r="Z4" s="9" t="s">
        <v>55</v>
      </c>
      <c r="AJ4" s="8" t="s">
        <v>77</v>
      </c>
    </row>
    <row r="5" spans="1:42">
      <c r="A5">
        <v>2021</v>
      </c>
      <c r="B5" s="10">
        <v>7.54</v>
      </c>
      <c r="C5" s="10">
        <v>3.2</v>
      </c>
      <c r="D5" s="10">
        <v>1.47</v>
      </c>
      <c r="E5" s="10">
        <v>1.47</v>
      </c>
      <c r="F5" s="10">
        <v>1.47</v>
      </c>
      <c r="G5" s="10">
        <v>1.47</v>
      </c>
      <c r="H5" s="10">
        <v>1.47</v>
      </c>
      <c r="I5" s="10">
        <v>1.47</v>
      </c>
      <c r="J5" s="10">
        <v>1.47</v>
      </c>
      <c r="K5" s="10">
        <v>1.47</v>
      </c>
      <c r="L5" s="10" t="e">
        <v>#REF!</v>
      </c>
      <c r="M5" s="10" t="e">
        <v>#REF!</v>
      </c>
      <c r="N5" s="10">
        <v>54</v>
      </c>
      <c r="O5" s="10">
        <v>2.8159999999999998</v>
      </c>
      <c r="P5" s="10">
        <v>54</v>
      </c>
      <c r="Q5">
        <v>25.736409599999998</v>
      </c>
      <c r="R5">
        <v>10.928706217515208</v>
      </c>
      <c r="S5" s="10">
        <v>10.928706217515209</v>
      </c>
      <c r="T5" s="10"/>
      <c r="U5" s="10">
        <v>2.8159999999999998</v>
      </c>
      <c r="V5" s="10">
        <v>2.6920000000000002</v>
      </c>
      <c r="W5" s="10"/>
      <c r="X5" s="10">
        <f t="shared" si="0"/>
        <v>21.447008</v>
      </c>
      <c r="Y5" s="10"/>
      <c r="Z5" s="5" t="s">
        <v>56</v>
      </c>
      <c r="AI5" s="5" t="s">
        <v>79</v>
      </c>
      <c r="AJ5">
        <f>3.2*0.25</f>
        <v>0.8</v>
      </c>
    </row>
    <row r="6" spans="1:42">
      <c r="A6">
        <v>2022</v>
      </c>
      <c r="B6" s="10">
        <v>7.54</v>
      </c>
      <c r="C6" s="10">
        <v>3.2</v>
      </c>
      <c r="D6" s="10">
        <v>1.46</v>
      </c>
      <c r="E6" s="10">
        <v>1.46</v>
      </c>
      <c r="F6" s="10">
        <v>1.46</v>
      </c>
      <c r="G6" s="10">
        <v>1.46</v>
      </c>
      <c r="H6" s="10">
        <v>1.46</v>
      </c>
      <c r="I6" s="10">
        <v>1.46</v>
      </c>
      <c r="J6" s="10">
        <v>1.46</v>
      </c>
      <c r="K6" s="10">
        <v>1.46</v>
      </c>
      <c r="L6" s="10" t="e">
        <v>#REF!</v>
      </c>
      <c r="M6" s="10" t="e">
        <v>#REF!</v>
      </c>
      <c r="N6" s="10">
        <v>52</v>
      </c>
      <c r="O6" s="10">
        <v>2.7839999999999998</v>
      </c>
      <c r="P6" s="10">
        <v>52</v>
      </c>
      <c r="Q6">
        <v>25.736409599999998</v>
      </c>
      <c r="R6">
        <v>10.928706217515208</v>
      </c>
      <c r="S6" s="10">
        <v>10.928706217515209</v>
      </c>
      <c r="T6" s="10"/>
      <c r="U6" s="10">
        <v>2.7839999999999998</v>
      </c>
      <c r="V6" s="10">
        <v>2.536</v>
      </c>
      <c r="W6" s="10"/>
      <c r="X6" s="10">
        <f t="shared" si="0"/>
        <v>21.447008</v>
      </c>
      <c r="Y6" s="10"/>
      <c r="Z6" s="5" t="s">
        <v>57</v>
      </c>
    </row>
    <row r="7" spans="1:42">
      <c r="A7">
        <v>2023</v>
      </c>
      <c r="B7" s="10">
        <v>7.54</v>
      </c>
      <c r="C7" s="10">
        <v>3.2</v>
      </c>
      <c r="D7" s="10">
        <v>1.45</v>
      </c>
      <c r="E7" s="10">
        <v>1.45</v>
      </c>
      <c r="F7" s="10">
        <v>1.45</v>
      </c>
      <c r="G7" s="10">
        <v>1.45</v>
      </c>
      <c r="H7" s="10">
        <v>1.45</v>
      </c>
      <c r="I7" s="10">
        <v>1.45</v>
      </c>
      <c r="J7" s="10">
        <v>1.45</v>
      </c>
      <c r="K7" s="10">
        <v>1.45</v>
      </c>
      <c r="L7" s="10" t="e">
        <v>#REF!</v>
      </c>
      <c r="M7" s="10" t="e">
        <v>#REF!</v>
      </c>
      <c r="N7" s="10">
        <v>50</v>
      </c>
      <c r="O7" s="10">
        <v>2.7519999999999998</v>
      </c>
      <c r="P7" s="10">
        <v>50</v>
      </c>
      <c r="Q7">
        <v>25.736409599999998</v>
      </c>
      <c r="R7">
        <v>10.928706217515208</v>
      </c>
      <c r="S7" s="10">
        <v>10.928706217515209</v>
      </c>
      <c r="T7" s="10"/>
      <c r="U7" s="10">
        <v>2.7519999999999998</v>
      </c>
      <c r="V7" s="10">
        <v>2.38</v>
      </c>
      <c r="W7" s="10"/>
      <c r="X7" s="10">
        <f t="shared" si="0"/>
        <v>21.447008</v>
      </c>
      <c r="Y7" s="10"/>
    </row>
    <row r="8" spans="1:42">
      <c r="A8">
        <v>2024</v>
      </c>
      <c r="B8" s="10">
        <v>7.54</v>
      </c>
      <c r="C8" s="10">
        <v>3.2</v>
      </c>
      <c r="D8" s="10">
        <v>1.44</v>
      </c>
      <c r="E8" s="10">
        <v>1.44</v>
      </c>
      <c r="F8" s="10">
        <v>1.44</v>
      </c>
      <c r="G8" s="10">
        <v>1.44</v>
      </c>
      <c r="H8" s="10">
        <v>1.44</v>
      </c>
      <c r="I8" s="10">
        <v>1.44</v>
      </c>
      <c r="J8" s="10">
        <v>1.44</v>
      </c>
      <c r="K8" s="10">
        <v>1.44</v>
      </c>
      <c r="L8" s="10" t="e">
        <v>#REF!</v>
      </c>
      <c r="M8" s="10" t="e">
        <v>#REF!</v>
      </c>
      <c r="N8" s="10">
        <v>48</v>
      </c>
      <c r="O8" s="10">
        <v>2.72</v>
      </c>
      <c r="P8" s="10">
        <v>48</v>
      </c>
      <c r="Q8">
        <v>23.57861952</v>
      </c>
      <c r="R8">
        <v>10.928706217515208</v>
      </c>
      <c r="S8" s="10">
        <v>10.928706217515209</v>
      </c>
      <c r="T8" s="10"/>
      <c r="U8" s="10">
        <v>2.72</v>
      </c>
      <c r="V8" s="10">
        <v>2.2240000000000002</v>
      </c>
      <c r="W8" s="10"/>
      <c r="X8" s="10">
        <f t="shared" si="0"/>
        <v>19.648849600000002</v>
      </c>
      <c r="Y8" s="10"/>
    </row>
    <row r="9" spans="1:42" s="8" customFormat="1">
      <c r="A9" s="8">
        <v>2025</v>
      </c>
      <c r="B9" s="10">
        <v>7.54</v>
      </c>
      <c r="C9" s="10">
        <v>3.2</v>
      </c>
      <c r="D9" s="11">
        <v>1.43</v>
      </c>
      <c r="E9" s="11">
        <v>1.43</v>
      </c>
      <c r="F9" s="11">
        <v>1.43</v>
      </c>
      <c r="G9" s="11">
        <v>1.43</v>
      </c>
      <c r="H9" s="11">
        <v>1.43</v>
      </c>
      <c r="I9" s="11">
        <v>1.43</v>
      </c>
      <c r="J9" s="11">
        <v>1.43</v>
      </c>
      <c r="K9" s="11">
        <v>1.43</v>
      </c>
      <c r="L9" s="11" t="e">
        <v>#REF!</v>
      </c>
      <c r="M9" s="11" t="e">
        <v>#REF!</v>
      </c>
      <c r="N9" s="11">
        <v>46</v>
      </c>
      <c r="O9" s="10">
        <v>2.6880000000000002</v>
      </c>
      <c r="P9" s="10">
        <v>46</v>
      </c>
      <c r="Q9">
        <v>21.420829439999999</v>
      </c>
      <c r="R9">
        <v>10.928706217515208</v>
      </c>
      <c r="S9" s="11">
        <v>10.928706217515209</v>
      </c>
      <c r="T9" s="11"/>
      <c r="U9" s="11">
        <v>2.6880000000000002</v>
      </c>
      <c r="V9" s="10">
        <v>2.0680000000000001</v>
      </c>
      <c r="W9" s="10"/>
      <c r="X9" s="10">
        <f t="shared" si="0"/>
        <v>17.8506912</v>
      </c>
      <c r="Y9" s="10"/>
      <c r="AA9" s="8">
        <f>O9/2</f>
        <v>1.3440000000000001</v>
      </c>
      <c r="AI9"/>
      <c r="AJ9" s="5" t="s">
        <v>80</v>
      </c>
      <c r="AK9"/>
    </row>
    <row r="10" spans="1:42">
      <c r="A10">
        <v>2026</v>
      </c>
      <c r="B10" s="10">
        <v>7.54</v>
      </c>
      <c r="C10" s="10">
        <v>3.2</v>
      </c>
      <c r="D10" s="10">
        <v>1.42</v>
      </c>
      <c r="E10" s="10">
        <v>1.42</v>
      </c>
      <c r="F10" s="10">
        <v>1.42</v>
      </c>
      <c r="G10" s="10">
        <v>1.42</v>
      </c>
      <c r="H10" s="10">
        <v>1.42</v>
      </c>
      <c r="I10" s="10">
        <v>1.42</v>
      </c>
      <c r="J10" s="10">
        <v>1.42</v>
      </c>
      <c r="K10" s="10">
        <v>1.42</v>
      </c>
      <c r="L10" s="10" t="e">
        <v>#REF!</v>
      </c>
      <c r="M10" s="10" t="e">
        <v>#REF!</v>
      </c>
      <c r="N10" s="10">
        <v>44</v>
      </c>
      <c r="O10" s="10">
        <v>2.6560000000000001</v>
      </c>
      <c r="P10" s="10">
        <v>44</v>
      </c>
      <c r="Q10">
        <v>19.26303936</v>
      </c>
      <c r="R10">
        <v>10.01242246893092</v>
      </c>
      <c r="S10" s="10">
        <v>10.01242246893092</v>
      </c>
      <c r="T10" s="10"/>
      <c r="U10" s="10">
        <v>2.6560000000000001</v>
      </c>
      <c r="V10" s="10">
        <v>2.043076923076923</v>
      </c>
      <c r="W10" s="10"/>
      <c r="X10" s="10">
        <f t="shared" si="0"/>
        <v>16.052532800000002</v>
      </c>
      <c r="Y10" s="10"/>
      <c r="AI10" s="13" t="s">
        <v>81</v>
      </c>
      <c r="AN10" s="14" t="s">
        <v>82</v>
      </c>
      <c r="AP10" t="s">
        <v>83</v>
      </c>
    </row>
    <row r="11" spans="1:42">
      <c r="A11">
        <v>2027</v>
      </c>
      <c r="B11" s="10">
        <v>7.54</v>
      </c>
      <c r="C11" s="10">
        <v>3.2</v>
      </c>
      <c r="D11" s="10">
        <v>1.41</v>
      </c>
      <c r="E11" s="10">
        <v>1.41</v>
      </c>
      <c r="F11" s="10">
        <v>1.41</v>
      </c>
      <c r="G11" s="10">
        <v>1.41</v>
      </c>
      <c r="H11" s="10">
        <v>1.41</v>
      </c>
      <c r="I11" s="10">
        <v>1.41</v>
      </c>
      <c r="J11" s="10">
        <v>1.41</v>
      </c>
      <c r="K11" s="10">
        <v>1.41</v>
      </c>
      <c r="L11" s="10" t="e">
        <v>#REF!</v>
      </c>
      <c r="M11" s="10" t="e">
        <v>#REF!</v>
      </c>
      <c r="N11" s="10">
        <v>42</v>
      </c>
      <c r="O11" s="10">
        <v>2.6240000000000001</v>
      </c>
      <c r="P11" s="10">
        <v>42</v>
      </c>
      <c r="Q11">
        <v>17.105249279999999</v>
      </c>
      <c r="R11">
        <v>9.0961387203466355</v>
      </c>
      <c r="S11" s="10">
        <v>9.096138720346632</v>
      </c>
      <c r="T11" s="10"/>
      <c r="U11" s="10">
        <v>2.6240000000000001</v>
      </c>
      <c r="V11" s="10">
        <v>2.0184615384615379</v>
      </c>
      <c r="W11" s="10"/>
      <c r="X11" s="10">
        <f t="shared" si="0"/>
        <v>14.2543744</v>
      </c>
      <c r="Y11" s="10"/>
      <c r="AI11">
        <f>6501/1170/0.81</f>
        <v>6.8597657486546373</v>
      </c>
      <c r="AK11">
        <f>7607/1170/0.81</f>
        <v>8.0268017305054329</v>
      </c>
      <c r="AP11">
        <f>7147/1170/0.81</f>
        <v>7.5414160599345772</v>
      </c>
    </row>
    <row r="12" spans="1:42">
      <c r="A12">
        <v>2028</v>
      </c>
      <c r="B12" s="10">
        <v>7.54</v>
      </c>
      <c r="C12" s="10">
        <v>3.2</v>
      </c>
      <c r="D12" s="10">
        <v>1.4</v>
      </c>
      <c r="E12" s="10">
        <v>1.4</v>
      </c>
      <c r="F12" s="10">
        <v>1.4</v>
      </c>
      <c r="G12" s="10">
        <v>1.4</v>
      </c>
      <c r="H12" s="10">
        <v>1.4</v>
      </c>
      <c r="I12" s="10">
        <v>1.4</v>
      </c>
      <c r="J12" s="10">
        <v>1.4</v>
      </c>
      <c r="K12" s="10">
        <v>1.4</v>
      </c>
      <c r="L12" s="10" t="e">
        <v>#REF!</v>
      </c>
      <c r="M12" s="10" t="e">
        <v>#REF!</v>
      </c>
      <c r="N12" s="10">
        <v>40</v>
      </c>
      <c r="O12" s="10">
        <v>2.5920000000000001</v>
      </c>
      <c r="P12" s="10">
        <v>40</v>
      </c>
      <c r="Q12">
        <v>14.947459200000001</v>
      </c>
      <c r="R12">
        <v>8.1798549717623494</v>
      </c>
      <c r="S12" s="10">
        <v>8.1798549717623459</v>
      </c>
      <c r="T12" s="10"/>
      <c r="U12" s="10">
        <v>2.5920000000000001</v>
      </c>
      <c r="V12" s="10">
        <v>1.993846153846154</v>
      </c>
      <c r="W12" s="10"/>
      <c r="X12" s="10">
        <f t="shared" si="0"/>
        <v>12.456216000000001</v>
      </c>
      <c r="Y12" s="10"/>
      <c r="AI12" t="s">
        <v>86</v>
      </c>
    </row>
    <row r="13" spans="1:42" ht="22.2" customHeight="1">
      <c r="A13">
        <v>2029</v>
      </c>
      <c r="B13" s="10">
        <v>7.54</v>
      </c>
      <c r="C13" s="10">
        <v>3.2</v>
      </c>
      <c r="D13" s="10">
        <v>1.4</v>
      </c>
      <c r="E13" s="10">
        <v>1.4</v>
      </c>
      <c r="F13" s="10">
        <v>1.4</v>
      </c>
      <c r="G13" s="10">
        <v>1.4</v>
      </c>
      <c r="H13" s="10">
        <v>1.4</v>
      </c>
      <c r="I13" s="10">
        <v>1.4</v>
      </c>
      <c r="J13" s="10">
        <v>1.4</v>
      </c>
      <c r="K13" s="10">
        <v>1.4</v>
      </c>
      <c r="L13" s="10" t="e">
        <v>#REF!</v>
      </c>
      <c r="M13" s="10" t="e">
        <v>#REF!</v>
      </c>
      <c r="N13" s="10">
        <v>38</v>
      </c>
      <c r="O13" s="10">
        <v>2.56</v>
      </c>
      <c r="P13" s="10">
        <v>38</v>
      </c>
      <c r="Q13">
        <v>14.5840584</v>
      </c>
      <c r="R13">
        <v>7.2635712231780607</v>
      </c>
      <c r="S13" s="10">
        <v>7.263571223178058</v>
      </c>
      <c r="T13" s="10"/>
      <c r="U13" s="10">
        <v>2.56</v>
      </c>
      <c r="V13" s="10">
        <v>1.9692307692307689</v>
      </c>
      <c r="W13" s="10"/>
      <c r="X13" s="10">
        <f t="shared" si="0"/>
        <v>12.153382000000001</v>
      </c>
      <c r="Y13" s="10"/>
      <c r="AI13" s="5" t="s">
        <v>84</v>
      </c>
      <c r="AN13" t="s">
        <v>85</v>
      </c>
    </row>
    <row r="14" spans="1:42" s="8" customFormat="1">
      <c r="A14" s="8">
        <v>2030</v>
      </c>
      <c r="B14" s="10">
        <v>7.54</v>
      </c>
      <c r="C14" s="10">
        <v>3.2</v>
      </c>
      <c r="D14" s="11">
        <v>1.4</v>
      </c>
      <c r="E14" s="11">
        <v>1.4</v>
      </c>
      <c r="F14" s="11">
        <v>1.4</v>
      </c>
      <c r="G14" s="11">
        <v>1.4</v>
      </c>
      <c r="H14" s="11">
        <v>1.4</v>
      </c>
      <c r="I14" s="11">
        <v>1.4</v>
      </c>
      <c r="J14" s="11">
        <v>1.4</v>
      </c>
      <c r="K14" s="11">
        <v>1.4</v>
      </c>
      <c r="L14" s="11" t="e">
        <v>#REF!</v>
      </c>
      <c r="M14" s="11" t="e">
        <v>#REF!</v>
      </c>
      <c r="N14" s="10">
        <v>36</v>
      </c>
      <c r="O14" s="10">
        <v>2.5299999999999998</v>
      </c>
      <c r="P14" s="10">
        <v>36</v>
      </c>
      <c r="Q14">
        <v>14.220657600000001</v>
      </c>
      <c r="R14">
        <v>6.3472874745937737</v>
      </c>
      <c r="S14" s="11">
        <v>6.347287474593772</v>
      </c>
      <c r="T14" s="11"/>
      <c r="U14" s="11">
        <v>2.528</v>
      </c>
      <c r="V14" s="10">
        <v>1.9446153846153851</v>
      </c>
      <c r="W14" s="10"/>
      <c r="X14" s="10">
        <f t="shared" si="0"/>
        <v>11.850548000000002</v>
      </c>
      <c r="Y14" s="10"/>
    </row>
    <row r="15" spans="1:42">
      <c r="A15">
        <v>2031</v>
      </c>
      <c r="B15" s="10">
        <v>7.54</v>
      </c>
      <c r="C15" s="10">
        <v>3.2</v>
      </c>
      <c r="D15" s="10">
        <v>1.4</v>
      </c>
      <c r="E15" s="10">
        <v>1.4</v>
      </c>
      <c r="F15" s="10">
        <v>1.4</v>
      </c>
      <c r="G15" s="10">
        <v>1.4</v>
      </c>
      <c r="H15" s="10">
        <v>1.4</v>
      </c>
      <c r="I15" s="10">
        <v>1.4</v>
      </c>
      <c r="J15" s="10">
        <v>1.4</v>
      </c>
      <c r="K15" s="10">
        <v>1.4</v>
      </c>
      <c r="L15" s="10" t="e">
        <v>#REF!</v>
      </c>
      <c r="M15" s="10" t="e">
        <v>#REF!</v>
      </c>
      <c r="N15" s="10">
        <v>34</v>
      </c>
      <c r="O15" s="10">
        <v>2.496</v>
      </c>
      <c r="P15" s="10">
        <v>34</v>
      </c>
      <c r="Q15">
        <v>13.8572568</v>
      </c>
      <c r="R15">
        <v>6.1929729977830688</v>
      </c>
      <c r="S15" s="10">
        <v>6.192972997783067</v>
      </c>
      <c r="T15" s="10"/>
      <c r="U15" s="10">
        <v>2.496</v>
      </c>
      <c r="V15" s="10">
        <v>1.92</v>
      </c>
      <c r="W15" s="10"/>
      <c r="X15" s="10">
        <f t="shared" si="0"/>
        <v>11.547714000000001</v>
      </c>
      <c r="Y15" s="10"/>
    </row>
    <row r="16" spans="1:42">
      <c r="A16">
        <v>2032</v>
      </c>
      <c r="B16" s="10">
        <v>7.54</v>
      </c>
      <c r="C16" s="10">
        <v>3.2</v>
      </c>
      <c r="D16" s="10">
        <v>1.4</v>
      </c>
      <c r="E16" s="10">
        <v>1.4</v>
      </c>
      <c r="F16" s="10">
        <v>1.4</v>
      </c>
      <c r="G16" s="10">
        <v>1.4</v>
      </c>
      <c r="H16" s="10">
        <v>1.4</v>
      </c>
      <c r="I16" s="10">
        <v>1.4</v>
      </c>
      <c r="J16" s="10">
        <v>1.4</v>
      </c>
      <c r="K16" s="10">
        <v>1.4</v>
      </c>
      <c r="L16" s="10" t="e">
        <v>#REF!</v>
      </c>
      <c r="M16" s="10" t="e">
        <v>#REF!</v>
      </c>
      <c r="N16" s="10">
        <v>32</v>
      </c>
      <c r="O16" s="10">
        <v>2.464</v>
      </c>
      <c r="P16" s="10">
        <v>32</v>
      </c>
      <c r="Q16">
        <v>13.493856000000001</v>
      </c>
      <c r="R16">
        <v>6.0386585209723647</v>
      </c>
      <c r="S16" s="10">
        <v>6.0386585209723611</v>
      </c>
      <c r="T16" s="10"/>
      <c r="U16" s="10">
        <v>2.464</v>
      </c>
      <c r="V16" s="10">
        <v>1.895384615384615</v>
      </c>
      <c r="W16" s="10"/>
      <c r="X16" s="10">
        <f t="shared" si="0"/>
        <v>11.244880000000002</v>
      </c>
      <c r="Y16" s="10"/>
      <c r="AI16" s="2" t="s">
        <v>90</v>
      </c>
    </row>
    <row r="17" spans="1:57">
      <c r="A17">
        <v>2033</v>
      </c>
      <c r="B17" s="10">
        <v>7.54</v>
      </c>
      <c r="C17" s="10">
        <v>3.2</v>
      </c>
      <c r="D17" s="10">
        <v>1.4</v>
      </c>
      <c r="E17" s="10">
        <v>1.4</v>
      </c>
      <c r="F17" s="10">
        <v>1.4</v>
      </c>
      <c r="G17" s="10">
        <v>1.4</v>
      </c>
      <c r="H17" s="10">
        <v>1.4</v>
      </c>
      <c r="I17" s="10">
        <v>1.4</v>
      </c>
      <c r="J17" s="10">
        <v>1.4</v>
      </c>
      <c r="K17" s="10">
        <v>1.4</v>
      </c>
      <c r="L17" s="10" t="e">
        <v>#REF!</v>
      </c>
      <c r="M17" s="10" t="e">
        <v>#REF!</v>
      </c>
      <c r="N17" s="10">
        <v>30</v>
      </c>
      <c r="O17" s="10">
        <v>2.4319999999999999</v>
      </c>
      <c r="P17" s="10">
        <v>30</v>
      </c>
      <c r="Q17">
        <v>13.1304552</v>
      </c>
      <c r="R17">
        <v>5.8843440441616597</v>
      </c>
      <c r="S17" s="10">
        <v>5.884344044161657</v>
      </c>
      <c r="T17" s="10"/>
      <c r="U17" s="10">
        <v>2.4319999999999999</v>
      </c>
      <c r="V17" s="10">
        <v>1.870769230769231</v>
      </c>
      <c r="W17" s="10"/>
      <c r="X17" s="10">
        <f t="shared" si="0"/>
        <v>10.942046000000001</v>
      </c>
      <c r="Y17" s="10"/>
      <c r="AI17" t="s">
        <v>91</v>
      </c>
    </row>
    <row r="18" spans="1:57">
      <c r="A18">
        <v>2034</v>
      </c>
      <c r="B18" s="10">
        <v>7.54</v>
      </c>
      <c r="C18" s="10">
        <v>3.2</v>
      </c>
      <c r="D18" s="10">
        <v>1.4</v>
      </c>
      <c r="E18" s="10">
        <v>1.4</v>
      </c>
      <c r="F18" s="10">
        <v>1.4</v>
      </c>
      <c r="G18" s="10">
        <v>1.4</v>
      </c>
      <c r="H18" s="10">
        <v>1.4</v>
      </c>
      <c r="I18" s="10">
        <v>1.4</v>
      </c>
      <c r="J18" s="10">
        <v>1.4</v>
      </c>
      <c r="K18" s="10">
        <v>1.4</v>
      </c>
      <c r="L18" s="10" t="e">
        <v>#REF!</v>
      </c>
      <c r="M18" s="10" t="e">
        <v>#REF!</v>
      </c>
      <c r="N18" s="10">
        <v>28</v>
      </c>
      <c r="O18" s="10">
        <v>2.4</v>
      </c>
      <c r="P18" s="10">
        <v>28</v>
      </c>
      <c r="Q18">
        <v>12.767054400000001</v>
      </c>
      <c r="R18">
        <v>5.7300295673509547</v>
      </c>
      <c r="S18" s="10">
        <v>5.730029567350952</v>
      </c>
      <c r="T18" s="10"/>
      <c r="U18" s="10">
        <v>2.4</v>
      </c>
      <c r="V18" s="10">
        <v>1.846153846153846</v>
      </c>
      <c r="W18" s="10"/>
      <c r="X18" s="10">
        <f t="shared" si="0"/>
        <v>10.639212000000001</v>
      </c>
      <c r="Y18" s="10"/>
    </row>
    <row r="19" spans="1:57" s="8" customFormat="1">
      <c r="A19" s="8">
        <v>2035</v>
      </c>
      <c r="B19" s="10">
        <v>7.54</v>
      </c>
      <c r="C19" s="10">
        <v>3.2</v>
      </c>
      <c r="D19" s="11">
        <v>1.4</v>
      </c>
      <c r="E19" s="11">
        <v>1.4</v>
      </c>
      <c r="F19" s="11">
        <v>1.4</v>
      </c>
      <c r="G19" s="11">
        <v>1.4</v>
      </c>
      <c r="H19" s="11">
        <v>1.4</v>
      </c>
      <c r="I19" s="11">
        <v>1.4</v>
      </c>
      <c r="J19" s="11">
        <v>1.4</v>
      </c>
      <c r="K19" s="11">
        <v>1.4</v>
      </c>
      <c r="L19" s="11" t="e">
        <v>#REF!</v>
      </c>
      <c r="M19" s="11" t="e">
        <v>#REF!</v>
      </c>
      <c r="N19" s="11">
        <v>26</v>
      </c>
      <c r="O19" s="10">
        <v>2.3679999999999999</v>
      </c>
      <c r="P19" s="10">
        <v>26</v>
      </c>
      <c r="Q19">
        <v>12.4036536</v>
      </c>
      <c r="R19">
        <v>5.5757150905402497</v>
      </c>
      <c r="S19" s="11">
        <v>5.5757150905402479</v>
      </c>
      <c r="T19" s="11"/>
      <c r="U19" s="11">
        <v>2.3679999999999999</v>
      </c>
      <c r="V19" s="10">
        <v>1.8215384615384611</v>
      </c>
      <c r="W19" s="10"/>
      <c r="X19" s="10">
        <f t="shared" si="0"/>
        <v>10.336378</v>
      </c>
      <c r="Y19" s="10"/>
    </row>
    <row r="20" spans="1:57">
      <c r="A20">
        <v>2036</v>
      </c>
      <c r="B20" s="10">
        <v>7.54</v>
      </c>
      <c r="C20" s="10">
        <v>3.2</v>
      </c>
      <c r="D20" s="10">
        <v>1.4</v>
      </c>
      <c r="E20" s="10">
        <v>1.4</v>
      </c>
      <c r="F20" s="10">
        <v>1.4</v>
      </c>
      <c r="G20" s="10">
        <v>1.4</v>
      </c>
      <c r="H20" s="10">
        <v>1.4</v>
      </c>
      <c r="I20" s="10">
        <v>1.4</v>
      </c>
      <c r="J20" s="10">
        <v>1.4</v>
      </c>
      <c r="K20" s="10">
        <v>1.4</v>
      </c>
      <c r="L20" s="10" t="e">
        <v>#REF!</v>
      </c>
      <c r="M20" s="10" t="e">
        <v>#REF!</v>
      </c>
      <c r="N20" s="10">
        <v>24</v>
      </c>
      <c r="O20" s="10">
        <v>2.3359999999999999</v>
      </c>
      <c r="P20" s="10">
        <v>24</v>
      </c>
      <c r="Q20">
        <v>12.040252800000001</v>
      </c>
      <c r="R20">
        <v>5.4214006137295447</v>
      </c>
      <c r="S20" s="10">
        <v>5.4214006137295421</v>
      </c>
      <c r="T20" s="10"/>
      <c r="U20" s="10">
        <v>2.3359999999999999</v>
      </c>
      <c r="V20" s="10">
        <v>1.7969230769230771</v>
      </c>
      <c r="W20" s="10"/>
      <c r="X20" s="10">
        <f t="shared" si="0"/>
        <v>10.033544000000001</v>
      </c>
      <c r="Y20" s="10"/>
    </row>
    <row r="21" spans="1:57">
      <c r="A21">
        <v>2037</v>
      </c>
      <c r="B21" s="10">
        <v>7.54</v>
      </c>
      <c r="C21" s="10">
        <v>3.2</v>
      </c>
      <c r="D21" s="10">
        <v>1.4</v>
      </c>
      <c r="E21" s="10">
        <v>1.4</v>
      </c>
      <c r="F21" s="10">
        <v>1.4</v>
      </c>
      <c r="G21" s="10">
        <v>1.4</v>
      </c>
      <c r="H21" s="10">
        <v>1.4</v>
      </c>
      <c r="I21" s="10">
        <v>1.4</v>
      </c>
      <c r="J21" s="10">
        <v>1.4</v>
      </c>
      <c r="K21" s="10">
        <v>1.4</v>
      </c>
      <c r="L21" s="10" t="e">
        <v>#REF!</v>
      </c>
      <c r="M21" s="10" t="e">
        <v>#REF!</v>
      </c>
      <c r="N21" s="10">
        <v>22</v>
      </c>
      <c r="O21" s="10">
        <v>2.3039999999999998</v>
      </c>
      <c r="P21" s="10">
        <v>22</v>
      </c>
      <c r="Q21">
        <v>11.676852</v>
      </c>
      <c r="R21">
        <v>5.2670861369188398</v>
      </c>
      <c r="S21" s="10">
        <v>5.267086136918838</v>
      </c>
      <c r="T21" s="10"/>
      <c r="U21" s="10">
        <v>2.3039999999999998</v>
      </c>
      <c r="V21" s="10">
        <v>1.7723076923076919</v>
      </c>
      <c r="W21" s="10"/>
      <c r="X21" s="10">
        <f t="shared" si="0"/>
        <v>9.7307100000000002</v>
      </c>
      <c r="Y21" s="10"/>
      <c r="AB21" s="16">
        <v>2020</v>
      </c>
      <c r="AC21">
        <v>2021</v>
      </c>
      <c r="AD21">
        <v>2022</v>
      </c>
      <c r="AE21">
        <v>2023</v>
      </c>
      <c r="AF21">
        <v>2024</v>
      </c>
      <c r="AG21">
        <v>2025</v>
      </c>
      <c r="AH21">
        <v>2026</v>
      </c>
      <c r="AI21">
        <v>2027</v>
      </c>
      <c r="AJ21">
        <v>2028</v>
      </c>
      <c r="AK21">
        <v>2029</v>
      </c>
      <c r="AL21">
        <v>2030</v>
      </c>
      <c r="AM21">
        <v>2031</v>
      </c>
      <c r="AN21">
        <v>2032</v>
      </c>
      <c r="AO21">
        <v>2033</v>
      </c>
      <c r="AP21">
        <v>2034</v>
      </c>
      <c r="AQ21">
        <v>2035</v>
      </c>
      <c r="AR21">
        <v>2036</v>
      </c>
      <c r="AS21">
        <v>2037</v>
      </c>
      <c r="AT21">
        <v>2038</v>
      </c>
      <c r="AU21">
        <v>2039</v>
      </c>
      <c r="AV21">
        <v>2040</v>
      </c>
      <c r="AW21">
        <v>2041</v>
      </c>
      <c r="AX21">
        <v>2042</v>
      </c>
      <c r="AY21">
        <v>2043</v>
      </c>
      <c r="AZ21">
        <v>2044</v>
      </c>
      <c r="BA21">
        <v>2045</v>
      </c>
    </row>
    <row r="22" spans="1:57">
      <c r="A22">
        <v>2038</v>
      </c>
      <c r="B22" s="10">
        <v>7.54</v>
      </c>
      <c r="C22" s="10">
        <v>3.2</v>
      </c>
      <c r="D22" s="10">
        <v>1.4</v>
      </c>
      <c r="E22" s="10">
        <v>1.4</v>
      </c>
      <c r="F22" s="10">
        <v>1.4</v>
      </c>
      <c r="G22" s="10">
        <v>1.4</v>
      </c>
      <c r="H22" s="10">
        <v>1.4</v>
      </c>
      <c r="I22" s="10">
        <v>1.4</v>
      </c>
      <c r="J22" s="10">
        <v>1.4</v>
      </c>
      <c r="K22" s="10">
        <v>1.4</v>
      </c>
      <c r="L22" s="10" t="e">
        <v>#REF!</v>
      </c>
      <c r="M22" s="10" t="e">
        <v>#REF!</v>
      </c>
      <c r="N22" s="10">
        <v>22</v>
      </c>
      <c r="O22" s="10">
        <v>2.2719999999999998</v>
      </c>
      <c r="P22" s="10">
        <v>22</v>
      </c>
      <c r="Q22">
        <v>11.313451199999999</v>
      </c>
      <c r="R22">
        <v>5.1127716601081357</v>
      </c>
      <c r="S22" s="10">
        <v>5.112771660108133</v>
      </c>
      <c r="T22" s="10"/>
      <c r="U22" s="10">
        <v>2.2719999999999998</v>
      </c>
      <c r="V22" s="10">
        <v>1.747692307692307</v>
      </c>
      <c r="W22" s="10"/>
      <c r="X22" s="10">
        <f t="shared" si="0"/>
        <v>9.4278759999999995</v>
      </c>
      <c r="Y22" s="10"/>
      <c r="AA22" t="s">
        <v>93</v>
      </c>
      <c r="AB22">
        <v>25.736409599999998</v>
      </c>
      <c r="AC22">
        <v>25.736409599999998</v>
      </c>
      <c r="AD22">
        <v>25.736409599999998</v>
      </c>
      <c r="AE22">
        <v>25.736409599999998</v>
      </c>
      <c r="AF22">
        <v>25.736409599999998</v>
      </c>
      <c r="AG22">
        <v>25.736409599999998</v>
      </c>
      <c r="AH22">
        <v>22.083873599999997</v>
      </c>
      <c r="AI22">
        <v>18.431337599999996</v>
      </c>
      <c r="AJ22">
        <v>14.778801599999998</v>
      </c>
      <c r="AK22">
        <v>11.126265599999998</v>
      </c>
      <c r="AL22">
        <v>7.4737296000000004</v>
      </c>
      <c r="AM22">
        <v>7.2920292</v>
      </c>
      <c r="AN22">
        <v>7.1103288000000004</v>
      </c>
      <c r="AO22">
        <v>6.9286284</v>
      </c>
      <c r="AP22">
        <v>6.7469280000000005</v>
      </c>
      <c r="AQ22">
        <v>6.5652276000000001</v>
      </c>
      <c r="AR22">
        <v>6.3835272000000005</v>
      </c>
      <c r="AS22">
        <v>6.2018268000000001</v>
      </c>
      <c r="AT22">
        <v>6.0201264000000005</v>
      </c>
      <c r="AU22">
        <v>5.8384260000000001</v>
      </c>
      <c r="AV22">
        <v>5.6567255999999997</v>
      </c>
      <c r="AW22">
        <v>5.4750252000000001</v>
      </c>
      <c r="AX22">
        <v>5.2933247999999997</v>
      </c>
      <c r="AY22">
        <v>5.1116244000000002</v>
      </c>
      <c r="AZ22">
        <v>4.9299239999999998</v>
      </c>
      <c r="BA22">
        <v>4.7482236000000002</v>
      </c>
    </row>
    <row r="23" spans="1:57">
      <c r="A23">
        <v>2039</v>
      </c>
      <c r="B23" s="10">
        <v>7.54</v>
      </c>
      <c r="C23" s="10">
        <v>3.2</v>
      </c>
      <c r="D23" s="10">
        <v>1.4</v>
      </c>
      <c r="E23" s="10">
        <v>1.4</v>
      </c>
      <c r="F23" s="10">
        <v>1.4</v>
      </c>
      <c r="G23" s="10">
        <v>1.4</v>
      </c>
      <c r="H23" s="10">
        <v>1.4</v>
      </c>
      <c r="I23" s="10">
        <v>1.4</v>
      </c>
      <c r="J23" s="10">
        <v>1.4</v>
      </c>
      <c r="K23" s="10">
        <v>1.4</v>
      </c>
      <c r="L23" s="10" t="e">
        <v>#REF!</v>
      </c>
      <c r="M23" s="10" t="e">
        <v>#REF!</v>
      </c>
      <c r="N23" s="10">
        <v>22</v>
      </c>
      <c r="O23" s="10">
        <v>2.2400000000000002</v>
      </c>
      <c r="P23" s="10">
        <v>22</v>
      </c>
      <c r="Q23">
        <v>10.9500504</v>
      </c>
      <c r="R23">
        <v>4.9584571832974298</v>
      </c>
      <c r="S23" s="10">
        <v>4.958457183297428</v>
      </c>
      <c r="T23" s="10"/>
      <c r="U23" s="10">
        <v>2.2400000000000002</v>
      </c>
      <c r="V23" s="10">
        <v>1.723076923076923</v>
      </c>
      <c r="W23" s="10"/>
      <c r="X23" s="10">
        <f t="shared" si="0"/>
        <v>9.1250420000000005</v>
      </c>
      <c r="Y23" s="10"/>
    </row>
    <row r="24" spans="1:57">
      <c r="A24">
        <v>2040</v>
      </c>
      <c r="B24" s="10">
        <v>7.54</v>
      </c>
      <c r="C24" s="10">
        <v>3.2</v>
      </c>
      <c r="D24" s="10">
        <v>1.4</v>
      </c>
      <c r="E24" s="10">
        <v>1.4</v>
      </c>
      <c r="F24" s="10">
        <v>1.4</v>
      </c>
      <c r="G24" s="10">
        <v>1.4</v>
      </c>
      <c r="H24" s="10">
        <v>1.4</v>
      </c>
      <c r="I24" s="10">
        <v>1.4</v>
      </c>
      <c r="J24" s="10">
        <v>1.4</v>
      </c>
      <c r="K24" s="10">
        <v>1.4</v>
      </c>
      <c r="L24" s="10" t="e">
        <v>#REF!</v>
      </c>
      <c r="M24" s="10" t="e">
        <v>#REF!</v>
      </c>
      <c r="N24" s="10">
        <v>22</v>
      </c>
      <c r="O24" s="10">
        <v>2.2080000000000002</v>
      </c>
      <c r="P24" s="10">
        <v>22</v>
      </c>
      <c r="Q24">
        <v>10.586649599999999</v>
      </c>
      <c r="R24">
        <v>4.8041427064867248</v>
      </c>
      <c r="S24" s="10">
        <v>4.804142706486723</v>
      </c>
      <c r="T24" s="10"/>
      <c r="U24" s="10">
        <v>2.2080000000000002</v>
      </c>
      <c r="V24" s="10">
        <v>1.698461538461538</v>
      </c>
      <c r="W24" s="10"/>
      <c r="X24" s="10">
        <f t="shared" si="0"/>
        <v>8.8222079999999998</v>
      </c>
      <c r="Y24" s="10"/>
    </row>
    <row r="25" spans="1:57">
      <c r="A25">
        <v>2041</v>
      </c>
      <c r="B25" s="10">
        <v>7.54</v>
      </c>
      <c r="C25" s="10">
        <v>3.2</v>
      </c>
      <c r="D25" s="10">
        <v>1.4</v>
      </c>
      <c r="E25" s="10">
        <v>1.4</v>
      </c>
      <c r="F25" s="10">
        <v>1.4</v>
      </c>
      <c r="G25" s="10">
        <v>1.4</v>
      </c>
      <c r="H25" s="10">
        <v>1.4</v>
      </c>
      <c r="I25" s="10">
        <v>1.4</v>
      </c>
      <c r="J25" s="10">
        <v>1.4</v>
      </c>
      <c r="K25" s="10">
        <v>1.4</v>
      </c>
      <c r="L25" s="10" t="e">
        <v>#REF!</v>
      </c>
      <c r="M25" s="10" t="e">
        <v>#REF!</v>
      </c>
      <c r="N25" s="10">
        <v>22</v>
      </c>
      <c r="O25" s="10">
        <v>2.1760000000000002</v>
      </c>
      <c r="P25" s="10">
        <v>22</v>
      </c>
      <c r="Q25">
        <v>10.2232488</v>
      </c>
      <c r="R25">
        <v>4.6498282296760198</v>
      </c>
      <c r="S25" s="10">
        <v>4.6498282296760198</v>
      </c>
      <c r="T25" s="10"/>
      <c r="U25" s="10">
        <v>2.1760000000000002</v>
      </c>
      <c r="V25" s="10">
        <v>1.673846153846154</v>
      </c>
      <c r="W25" s="10"/>
      <c r="X25" s="10">
        <f t="shared" si="0"/>
        <v>8.5193740000000009</v>
      </c>
      <c r="Y25" s="10"/>
      <c r="AB25">
        <v>10.928706217515208</v>
      </c>
      <c r="AC25">
        <v>10.928706217515208</v>
      </c>
      <c r="AD25">
        <v>10.928706217515208</v>
      </c>
      <c r="AE25">
        <v>10.928706217515208</v>
      </c>
      <c r="AF25">
        <v>10.928706217515208</v>
      </c>
      <c r="AG25">
        <v>10.928706217515208</v>
      </c>
      <c r="AH25">
        <v>9.377693721471541</v>
      </c>
      <c r="AI25">
        <v>7.8266812254278806</v>
      </c>
      <c r="AJ25">
        <v>6.2756687293842157</v>
      </c>
      <c r="AK25">
        <v>4.7246562333405508</v>
      </c>
      <c r="AL25">
        <v>3.1736437372968869</v>
      </c>
      <c r="AM25">
        <v>3.0964864988915344</v>
      </c>
      <c r="AN25">
        <v>3.0193292604861823</v>
      </c>
      <c r="AO25">
        <v>2.9421720220808298</v>
      </c>
      <c r="AP25">
        <v>2.8650147836754774</v>
      </c>
      <c r="AQ25">
        <v>2.7878575452701249</v>
      </c>
      <c r="AR25">
        <v>2.7107003068647724</v>
      </c>
      <c r="AS25">
        <v>2.6335430684594199</v>
      </c>
      <c r="AT25">
        <v>2.5563858300540678</v>
      </c>
      <c r="AU25">
        <v>2.4792285916487149</v>
      </c>
      <c r="AV25">
        <v>2.4020713532433624</v>
      </c>
      <c r="AW25">
        <v>2.3249141148380099</v>
      </c>
      <c r="AX25">
        <v>2.2477568764326574</v>
      </c>
      <c r="AY25">
        <v>2.1705996380273049</v>
      </c>
      <c r="AZ25">
        <v>2.0934423996219529</v>
      </c>
      <c r="BA25">
        <v>2.0162851612166004</v>
      </c>
    </row>
    <row r="26" spans="1:57">
      <c r="A26">
        <v>2042</v>
      </c>
      <c r="B26" s="10">
        <v>7.54</v>
      </c>
      <c r="C26" s="10">
        <v>3.2</v>
      </c>
      <c r="D26" s="10">
        <v>1.4</v>
      </c>
      <c r="E26" s="10">
        <v>1.4</v>
      </c>
      <c r="F26" s="10">
        <v>1.4</v>
      </c>
      <c r="G26" s="10">
        <v>1.4</v>
      </c>
      <c r="H26" s="10">
        <v>1.4</v>
      </c>
      <c r="I26" s="10">
        <v>1.4</v>
      </c>
      <c r="J26" s="10">
        <v>1.4</v>
      </c>
      <c r="K26" s="10">
        <v>1.4</v>
      </c>
      <c r="L26" s="10" t="e">
        <v>#REF!</v>
      </c>
      <c r="M26" s="10" t="e">
        <v>#REF!</v>
      </c>
      <c r="N26" s="10">
        <v>22</v>
      </c>
      <c r="O26" s="10">
        <v>2.1440000000000001</v>
      </c>
      <c r="P26" s="10">
        <v>22</v>
      </c>
      <c r="Q26">
        <v>9.8598479999999995</v>
      </c>
      <c r="R26">
        <v>4.4955137528653148</v>
      </c>
      <c r="S26" s="10">
        <v>4.4955137528653148</v>
      </c>
      <c r="T26" s="10"/>
      <c r="U26" s="10">
        <v>2.1440000000000001</v>
      </c>
      <c r="V26" s="10">
        <v>1.6492307692307691</v>
      </c>
      <c r="W26" s="10"/>
      <c r="X26" s="10">
        <f t="shared" si="0"/>
        <v>8.2165400000000002</v>
      </c>
      <c r="Y26" s="10"/>
    </row>
    <row r="27" spans="1:57">
      <c r="A27">
        <v>2043</v>
      </c>
      <c r="B27" s="10">
        <v>7.54</v>
      </c>
      <c r="C27" s="10">
        <v>3.2</v>
      </c>
      <c r="D27" s="10">
        <v>1.4</v>
      </c>
      <c r="E27" s="10">
        <v>1.4</v>
      </c>
      <c r="F27" s="10">
        <v>1.4</v>
      </c>
      <c r="G27" s="10">
        <v>1.4</v>
      </c>
      <c r="H27" s="10">
        <v>1.4</v>
      </c>
      <c r="I27" s="10">
        <v>1.4</v>
      </c>
      <c r="J27" s="10">
        <v>1.4</v>
      </c>
      <c r="K27" s="10">
        <v>1.4</v>
      </c>
      <c r="L27" s="10" t="e">
        <v>#REF!</v>
      </c>
      <c r="M27" s="10" t="e">
        <v>#REF!</v>
      </c>
      <c r="N27" s="10">
        <v>22</v>
      </c>
      <c r="O27" s="10">
        <v>2.1120000000000001</v>
      </c>
      <c r="P27" s="10">
        <v>22</v>
      </c>
      <c r="Q27">
        <v>9.4964472000000004</v>
      </c>
      <c r="R27">
        <v>4.3411992760546099</v>
      </c>
      <c r="S27" s="10">
        <v>4.3411992760546099</v>
      </c>
      <c r="T27" s="10"/>
      <c r="U27" s="10">
        <v>2.1120000000000001</v>
      </c>
      <c r="V27" s="10">
        <v>1.624615384615385</v>
      </c>
      <c r="W27" s="10"/>
      <c r="X27" s="10">
        <f t="shared" si="0"/>
        <v>7.9137060000000004</v>
      </c>
      <c r="Y27" s="10"/>
    </row>
    <row r="28" spans="1:57">
      <c r="A28">
        <v>2044</v>
      </c>
      <c r="B28" s="10">
        <v>7.54</v>
      </c>
      <c r="C28" s="10">
        <v>3.2</v>
      </c>
      <c r="D28" s="10">
        <v>1.4</v>
      </c>
      <c r="E28" s="10">
        <v>1.4</v>
      </c>
      <c r="F28" s="10">
        <v>1.4</v>
      </c>
      <c r="G28" s="10">
        <v>1.4</v>
      </c>
      <c r="H28" s="10">
        <v>1.4</v>
      </c>
      <c r="I28" s="10">
        <v>1.4</v>
      </c>
      <c r="J28" s="10">
        <v>1.4</v>
      </c>
      <c r="K28" s="10">
        <v>1.4</v>
      </c>
      <c r="L28" s="10" t="e">
        <v>#REF!</v>
      </c>
      <c r="M28" s="10" t="e">
        <v>#REF!</v>
      </c>
      <c r="N28" s="10">
        <v>22</v>
      </c>
      <c r="O28" s="10">
        <v>2.08</v>
      </c>
      <c r="P28" s="10">
        <v>22</v>
      </c>
      <c r="Q28">
        <v>9.4964472000000004</v>
      </c>
      <c r="R28">
        <v>4.1868847992439058</v>
      </c>
      <c r="S28" s="10">
        <v>4.1868847992439058</v>
      </c>
      <c r="T28" s="10"/>
      <c r="U28" s="10">
        <v>2.08</v>
      </c>
      <c r="V28" s="10">
        <v>1.6</v>
      </c>
      <c r="W28" s="10"/>
      <c r="X28" s="10">
        <f t="shared" si="0"/>
        <v>7.9137060000000004</v>
      </c>
      <c r="Y28" s="10"/>
      <c r="AA28" t="s">
        <v>94</v>
      </c>
      <c r="AB28">
        <v>25.736409599999998</v>
      </c>
      <c r="AC28">
        <v>25.736409599999998</v>
      </c>
      <c r="AD28">
        <v>25.736409599999998</v>
      </c>
      <c r="AE28">
        <v>25.736409599999998</v>
      </c>
      <c r="AF28">
        <v>25.736409599999998</v>
      </c>
      <c r="AG28">
        <v>25.736409599999998</v>
      </c>
      <c r="AH28">
        <v>23.57861952</v>
      </c>
      <c r="AI28">
        <v>21.420829439999999</v>
      </c>
      <c r="AJ28">
        <v>19.26303936</v>
      </c>
      <c r="AK28">
        <v>17.105249279999999</v>
      </c>
      <c r="AL28">
        <v>14.947459200000001</v>
      </c>
      <c r="AM28">
        <v>14.5840584</v>
      </c>
      <c r="AN28">
        <v>14.220657600000001</v>
      </c>
      <c r="AO28">
        <v>13.8572568</v>
      </c>
      <c r="AP28">
        <v>13.493856000000001</v>
      </c>
      <c r="AQ28">
        <v>13.1304552</v>
      </c>
      <c r="AR28">
        <v>12.767054400000001</v>
      </c>
      <c r="AS28">
        <v>12.4036536</v>
      </c>
      <c r="AT28">
        <v>12.040252800000001</v>
      </c>
      <c r="AU28">
        <v>11.676852</v>
      </c>
      <c r="AV28">
        <v>11.313451199999999</v>
      </c>
      <c r="AW28">
        <v>10.9500504</v>
      </c>
      <c r="AX28">
        <v>10.586649599999999</v>
      </c>
      <c r="AY28">
        <v>10.2232488</v>
      </c>
      <c r="AZ28">
        <v>9.8598479999999995</v>
      </c>
      <c r="BA28">
        <v>9.4964472000000004</v>
      </c>
      <c r="BB28">
        <v>9.1330463999999996</v>
      </c>
      <c r="BC28">
        <v>8.7696456000000005</v>
      </c>
      <c r="BD28">
        <v>8.4062447999999996</v>
      </c>
      <c r="BE28">
        <v>8.0428440000000005</v>
      </c>
    </row>
    <row r="29" spans="1:57">
      <c r="A29">
        <v>2045</v>
      </c>
      <c r="B29" s="10">
        <v>7.54</v>
      </c>
      <c r="C29" s="10">
        <v>3.2</v>
      </c>
      <c r="D29" s="10">
        <v>1.4</v>
      </c>
      <c r="E29" s="10">
        <v>1.4</v>
      </c>
      <c r="F29" s="10">
        <v>1.4</v>
      </c>
      <c r="G29" s="10">
        <v>1.4</v>
      </c>
      <c r="H29" s="10">
        <v>1.4</v>
      </c>
      <c r="I29" s="10">
        <v>1.4</v>
      </c>
      <c r="J29" s="10">
        <v>1.4</v>
      </c>
      <c r="K29" s="10">
        <v>1.4</v>
      </c>
      <c r="L29" s="10" t="e">
        <v>#REF!</v>
      </c>
      <c r="M29" s="10" t="e">
        <v>#REF!</v>
      </c>
      <c r="N29" s="10">
        <v>22</v>
      </c>
      <c r="O29" s="10">
        <v>2</v>
      </c>
      <c r="P29" s="10">
        <v>22</v>
      </c>
      <c r="Q29">
        <v>9.4964472000000004</v>
      </c>
      <c r="R29">
        <v>4.0325703224332008</v>
      </c>
      <c r="S29" s="10">
        <v>4.0325703224332008</v>
      </c>
      <c r="T29" s="10"/>
      <c r="U29" s="10">
        <v>2</v>
      </c>
      <c r="V29" s="10">
        <v>1.5384615384615381</v>
      </c>
      <c r="W29" s="10"/>
      <c r="X29" s="10">
        <f t="shared" si="0"/>
        <v>7.9137060000000004</v>
      </c>
      <c r="Y29" s="10"/>
    </row>
    <row r="30" spans="1:57">
      <c r="A30">
        <v>2046</v>
      </c>
      <c r="B30" s="10">
        <v>7.54</v>
      </c>
      <c r="C30" s="10">
        <v>3.2</v>
      </c>
      <c r="D30" s="10">
        <v>1.4</v>
      </c>
      <c r="E30" s="10">
        <v>1.4</v>
      </c>
      <c r="F30" s="10">
        <v>1.4</v>
      </c>
      <c r="G30" s="10">
        <v>1.4</v>
      </c>
      <c r="H30" s="10">
        <v>1.4</v>
      </c>
      <c r="I30" s="10">
        <v>1.4</v>
      </c>
      <c r="J30" s="10">
        <v>1.4</v>
      </c>
      <c r="K30" s="10">
        <v>1.4</v>
      </c>
      <c r="L30" s="10" t="e">
        <v>#REF!</v>
      </c>
      <c r="M30" s="10" t="e">
        <v>#REF!</v>
      </c>
      <c r="N30" s="10">
        <v>22</v>
      </c>
      <c r="O30" s="10">
        <v>2</v>
      </c>
      <c r="P30" s="10">
        <v>22</v>
      </c>
      <c r="Q30">
        <v>9.4964472000000004</v>
      </c>
      <c r="R30">
        <v>4.0325703224332008</v>
      </c>
      <c r="S30" s="10">
        <v>4.0325703224332008</v>
      </c>
      <c r="T30" s="10"/>
      <c r="U30" s="10">
        <v>2</v>
      </c>
      <c r="V30" s="10">
        <v>1.5384615384615381</v>
      </c>
      <c r="W30" s="10"/>
      <c r="X30" s="10">
        <f t="shared" si="0"/>
        <v>7.9137060000000004</v>
      </c>
      <c r="Y30" s="10"/>
      <c r="AB30">
        <v>10.928706217515208</v>
      </c>
      <c r="AC30">
        <v>10.928706217515208</v>
      </c>
      <c r="AD30">
        <v>10.928706217515208</v>
      </c>
      <c r="AE30">
        <v>10.928706217515208</v>
      </c>
      <c r="AF30">
        <v>10.928706217515208</v>
      </c>
      <c r="AG30">
        <v>10.928706217515208</v>
      </c>
      <c r="AH30">
        <v>10.01242246893092</v>
      </c>
      <c r="AI30">
        <v>9.0961387203466355</v>
      </c>
      <c r="AJ30">
        <v>8.1798549717623494</v>
      </c>
      <c r="AK30">
        <v>7.2635712231780607</v>
      </c>
      <c r="AL30">
        <v>6.3472874745937737</v>
      </c>
      <c r="AM30">
        <v>6.1929729977830688</v>
      </c>
      <c r="AN30">
        <v>6.0386585209723647</v>
      </c>
      <c r="AO30">
        <v>5.8843440441616597</v>
      </c>
      <c r="AP30">
        <v>5.7300295673509547</v>
      </c>
      <c r="AQ30">
        <v>5.5757150905402497</v>
      </c>
      <c r="AR30">
        <v>5.4214006137295447</v>
      </c>
      <c r="AS30">
        <v>5.2670861369188398</v>
      </c>
      <c r="AT30">
        <v>5.1127716601081357</v>
      </c>
      <c r="AU30">
        <v>4.9584571832974298</v>
      </c>
      <c r="AV30">
        <v>4.8041427064867248</v>
      </c>
      <c r="AW30">
        <v>4.6498282296760198</v>
      </c>
      <c r="AX30">
        <v>4.4955137528653148</v>
      </c>
      <c r="AY30">
        <v>4.3411992760546099</v>
      </c>
      <c r="AZ30">
        <v>4.1868847992439058</v>
      </c>
      <c r="BA30">
        <v>4.0325703224332008</v>
      </c>
    </row>
    <row r="31" spans="1:57">
      <c r="A31">
        <v>2047</v>
      </c>
      <c r="B31" s="10">
        <v>7.54</v>
      </c>
      <c r="C31" s="10">
        <v>3.2</v>
      </c>
      <c r="D31" s="10">
        <v>1.4</v>
      </c>
      <c r="E31" s="10">
        <v>1.4</v>
      </c>
      <c r="F31" s="10">
        <v>1.4</v>
      </c>
      <c r="G31" s="10">
        <v>1.4</v>
      </c>
      <c r="H31" s="10">
        <v>1.4</v>
      </c>
      <c r="I31" s="10">
        <v>1.4</v>
      </c>
      <c r="J31" s="10">
        <v>1.4</v>
      </c>
      <c r="K31" s="10">
        <v>1.4</v>
      </c>
      <c r="L31" s="10" t="e">
        <v>#REF!</v>
      </c>
      <c r="M31" s="10" t="e">
        <v>#REF!</v>
      </c>
      <c r="N31" s="10">
        <v>22</v>
      </c>
      <c r="O31" s="10">
        <v>2</v>
      </c>
      <c r="P31" s="10">
        <v>22</v>
      </c>
      <c r="Q31">
        <v>9.4964472000000004</v>
      </c>
      <c r="R31">
        <v>4.0325703224332008</v>
      </c>
      <c r="S31" s="10">
        <v>4.0325703224332008</v>
      </c>
      <c r="T31" s="10"/>
      <c r="U31" s="10">
        <v>2</v>
      </c>
      <c r="V31" s="10">
        <v>1.5384615384615381</v>
      </c>
      <c r="W31" s="10"/>
      <c r="X31" s="10">
        <f t="shared" si="0"/>
        <v>7.9137060000000004</v>
      </c>
      <c r="Y31" s="10"/>
    </row>
    <row r="32" spans="1:57">
      <c r="A32">
        <v>2048</v>
      </c>
      <c r="B32" s="10">
        <v>7.54</v>
      </c>
      <c r="C32" s="10">
        <v>3.2</v>
      </c>
      <c r="D32" s="10">
        <v>1.4</v>
      </c>
      <c r="E32" s="10">
        <v>1.4</v>
      </c>
      <c r="F32" s="10">
        <v>1.4</v>
      </c>
      <c r="G32" s="10">
        <v>1.4</v>
      </c>
      <c r="H32" s="10">
        <v>1.4</v>
      </c>
      <c r="I32" s="10">
        <v>1.4</v>
      </c>
      <c r="J32" s="10">
        <v>1.4</v>
      </c>
      <c r="K32" s="10">
        <v>1.4</v>
      </c>
      <c r="L32" s="10" t="e">
        <v>#REF!</v>
      </c>
      <c r="M32" s="10" t="e">
        <v>#REF!</v>
      </c>
      <c r="N32" s="10">
        <v>22</v>
      </c>
      <c r="O32" s="10">
        <v>2</v>
      </c>
      <c r="P32" s="10">
        <v>22</v>
      </c>
      <c r="Q32">
        <v>9.4964472000000004</v>
      </c>
      <c r="R32">
        <v>4.0325703224332008</v>
      </c>
      <c r="S32" s="10">
        <v>4.0325703224332008</v>
      </c>
      <c r="T32" s="10"/>
      <c r="U32" s="10">
        <v>2</v>
      </c>
      <c r="V32" s="10">
        <v>1.5384615384615381</v>
      </c>
      <c r="W32" s="10"/>
      <c r="X32" s="10">
        <f t="shared" si="0"/>
        <v>7.9137060000000004</v>
      </c>
      <c r="Y32" s="10"/>
    </row>
    <row r="33" spans="1:25">
      <c r="A33">
        <v>2049</v>
      </c>
      <c r="B33" s="10">
        <v>7.54</v>
      </c>
      <c r="C33" s="10">
        <v>3.2</v>
      </c>
      <c r="D33" s="10">
        <v>1.4</v>
      </c>
      <c r="E33" s="10">
        <v>1.4</v>
      </c>
      <c r="F33" s="10">
        <v>1.4</v>
      </c>
      <c r="G33" s="10">
        <v>1.4</v>
      </c>
      <c r="H33" s="10">
        <v>1.4</v>
      </c>
      <c r="I33" s="10">
        <v>1.4</v>
      </c>
      <c r="J33" s="10">
        <v>1.4</v>
      </c>
      <c r="K33" s="10">
        <v>1.4</v>
      </c>
      <c r="L33" s="10" t="e">
        <v>#REF!</v>
      </c>
      <c r="M33" s="10" t="e">
        <v>#REF!</v>
      </c>
      <c r="N33" s="10">
        <v>22</v>
      </c>
      <c r="O33" s="10">
        <v>2</v>
      </c>
      <c r="P33" s="10">
        <v>22</v>
      </c>
      <c r="Q33">
        <v>9.4964472000000004</v>
      </c>
      <c r="R33">
        <v>4.0325703224332008</v>
      </c>
      <c r="S33" s="10">
        <v>4.0325703224332008</v>
      </c>
      <c r="T33" s="10"/>
      <c r="U33" s="10">
        <v>2</v>
      </c>
      <c r="V33" s="10">
        <v>1.5384615384615381</v>
      </c>
      <c r="W33" s="10"/>
      <c r="X33" s="10">
        <f t="shared" si="0"/>
        <v>7.9137060000000004</v>
      </c>
      <c r="Y33" s="10"/>
    </row>
    <row r="34" spans="1:25">
      <c r="A34">
        <v>2050</v>
      </c>
      <c r="B34" s="10">
        <v>7.54</v>
      </c>
      <c r="C34" s="10">
        <v>3.2</v>
      </c>
      <c r="D34" s="10">
        <v>1.4</v>
      </c>
      <c r="E34" s="10">
        <v>1.4</v>
      </c>
      <c r="F34" s="10">
        <v>1.4</v>
      </c>
      <c r="G34" s="10">
        <v>1.4</v>
      </c>
      <c r="H34" s="10">
        <v>1.4</v>
      </c>
      <c r="I34" s="10">
        <v>1.4</v>
      </c>
      <c r="J34" s="10">
        <v>1.4</v>
      </c>
      <c r="K34" s="10">
        <v>1.4</v>
      </c>
      <c r="L34" s="10" t="e">
        <v>#REF!</v>
      </c>
      <c r="M34" s="10" t="e">
        <v>#REF!</v>
      </c>
      <c r="N34" s="10">
        <v>22</v>
      </c>
      <c r="O34" s="10">
        <v>2</v>
      </c>
      <c r="P34" s="10">
        <v>22</v>
      </c>
      <c r="Q34">
        <v>9.4964472000000004</v>
      </c>
      <c r="R34">
        <v>4.0325703224332008</v>
      </c>
      <c r="S34" s="10">
        <v>4.0325703224332008</v>
      </c>
      <c r="T34" s="10"/>
      <c r="U34" s="10">
        <v>2</v>
      </c>
      <c r="V34" s="10">
        <v>1.5384615384615381</v>
      </c>
      <c r="W34" s="10"/>
      <c r="X34" s="10">
        <f t="shared" si="0"/>
        <v>7.9137060000000004</v>
      </c>
      <c r="Y34" s="10"/>
    </row>
    <row r="35" spans="1:25">
      <c r="A35">
        <v>2051</v>
      </c>
      <c r="B35" s="10">
        <v>7.54</v>
      </c>
      <c r="C35" s="10">
        <v>3.2</v>
      </c>
      <c r="D35" s="10">
        <v>1.4</v>
      </c>
      <c r="E35" s="10">
        <v>1.4</v>
      </c>
      <c r="F35" s="10">
        <v>1.4</v>
      </c>
      <c r="G35" s="10">
        <v>1.4</v>
      </c>
      <c r="H35" s="10">
        <v>1.4</v>
      </c>
      <c r="I35" s="10">
        <v>1.4</v>
      </c>
      <c r="J35" s="10">
        <v>1.4</v>
      </c>
      <c r="K35" s="10">
        <v>1.4</v>
      </c>
      <c r="L35" s="10" t="e">
        <v>#REF!</v>
      </c>
      <c r="M35" s="10" t="e">
        <v>#REF!</v>
      </c>
      <c r="N35" s="10">
        <v>22</v>
      </c>
      <c r="O35" s="10">
        <v>2</v>
      </c>
      <c r="P35" s="10">
        <v>22</v>
      </c>
      <c r="Q35">
        <v>9.4964472000000004</v>
      </c>
      <c r="R35">
        <v>4.0325703224332008</v>
      </c>
      <c r="S35" s="10">
        <v>4.0325703224332008</v>
      </c>
      <c r="T35" s="10"/>
      <c r="U35" s="10">
        <v>2</v>
      </c>
      <c r="V35" s="10">
        <v>1.5384615384615381</v>
      </c>
      <c r="W35" s="10"/>
      <c r="X35" s="10">
        <f t="shared" si="0"/>
        <v>7.9137060000000004</v>
      </c>
      <c r="Y35" s="10"/>
    </row>
    <row r="36" spans="1:25">
      <c r="A36">
        <v>2052</v>
      </c>
      <c r="B36" s="10">
        <v>7.54</v>
      </c>
      <c r="C36" s="10">
        <v>3.2</v>
      </c>
      <c r="D36" s="10">
        <v>1.4</v>
      </c>
      <c r="E36" s="10">
        <v>1.4</v>
      </c>
      <c r="F36" s="10">
        <v>1.4</v>
      </c>
      <c r="G36" s="10">
        <v>1.4</v>
      </c>
      <c r="H36" s="10">
        <v>1.4</v>
      </c>
      <c r="I36" s="10">
        <v>1.4</v>
      </c>
      <c r="J36" s="10">
        <v>1.4</v>
      </c>
      <c r="K36" s="10">
        <v>1.4</v>
      </c>
      <c r="L36" s="10" t="e">
        <v>#REF!</v>
      </c>
      <c r="M36" s="10" t="e">
        <v>#REF!</v>
      </c>
      <c r="N36" s="10">
        <v>22</v>
      </c>
      <c r="O36" s="10">
        <v>2</v>
      </c>
      <c r="P36" s="10">
        <v>22</v>
      </c>
      <c r="Q36">
        <v>9.4964472000000004</v>
      </c>
      <c r="R36">
        <v>4.0325703224332008</v>
      </c>
      <c r="S36" s="10">
        <v>4.0325703224332008</v>
      </c>
      <c r="T36" s="10"/>
      <c r="U36" s="10">
        <v>2</v>
      </c>
      <c r="V36" s="10">
        <v>1.5384615384615381</v>
      </c>
      <c r="W36" s="10"/>
      <c r="X36" s="10">
        <f t="shared" si="0"/>
        <v>7.9137060000000004</v>
      </c>
      <c r="Y36" s="10"/>
    </row>
    <row r="37" spans="1:25">
      <c r="A37">
        <v>2053</v>
      </c>
      <c r="B37" s="10">
        <v>7.54</v>
      </c>
      <c r="C37" s="10">
        <v>3.2</v>
      </c>
      <c r="D37" s="10">
        <v>1.4</v>
      </c>
      <c r="E37" s="10">
        <v>1.4</v>
      </c>
      <c r="F37" s="10">
        <v>1.4</v>
      </c>
      <c r="G37" s="10">
        <v>1.4</v>
      </c>
      <c r="H37" s="10">
        <v>1.4</v>
      </c>
      <c r="I37" s="10">
        <v>1.4</v>
      </c>
      <c r="J37" s="10">
        <v>1.4</v>
      </c>
      <c r="K37" s="10">
        <v>1.4</v>
      </c>
      <c r="L37" s="10" t="e">
        <v>#REF!</v>
      </c>
      <c r="M37" s="10" t="e">
        <v>#REF!</v>
      </c>
      <c r="N37" s="10">
        <v>22</v>
      </c>
      <c r="O37" s="10">
        <v>2</v>
      </c>
      <c r="P37" s="10">
        <v>22</v>
      </c>
      <c r="Q37">
        <v>9.4964472000000004</v>
      </c>
      <c r="R37">
        <v>4.0325703224332008</v>
      </c>
      <c r="S37" s="10">
        <v>4.0325703224332008</v>
      </c>
      <c r="T37" s="10"/>
      <c r="U37" s="10">
        <v>2</v>
      </c>
      <c r="V37" s="10">
        <v>1.5384615384615381</v>
      </c>
      <c r="W37" s="10"/>
      <c r="X37" s="10">
        <f t="shared" si="0"/>
        <v>7.9137060000000004</v>
      </c>
      <c r="Y37" s="10"/>
    </row>
    <row r="38" spans="1:25">
      <c r="A38">
        <v>2054</v>
      </c>
      <c r="B38" s="10">
        <v>7.54</v>
      </c>
      <c r="C38" s="10">
        <v>3.2</v>
      </c>
      <c r="D38" s="10">
        <v>1.4</v>
      </c>
      <c r="E38" s="10">
        <v>1.4</v>
      </c>
      <c r="F38" s="10">
        <v>1.4</v>
      </c>
      <c r="G38" s="10">
        <v>1.4</v>
      </c>
      <c r="H38" s="10">
        <v>1.4</v>
      </c>
      <c r="I38" s="10">
        <v>1.4</v>
      </c>
      <c r="J38" s="10">
        <v>1.4</v>
      </c>
      <c r="K38" s="10">
        <v>1.4</v>
      </c>
      <c r="L38" s="10" t="e">
        <v>#REF!</v>
      </c>
      <c r="M38" s="10" t="e">
        <v>#REF!</v>
      </c>
      <c r="N38" s="10">
        <v>22</v>
      </c>
      <c r="O38" s="10">
        <v>2</v>
      </c>
      <c r="P38" s="10">
        <v>22</v>
      </c>
      <c r="Q38">
        <v>9.4964472000000004</v>
      </c>
      <c r="R38">
        <v>4.0325703224332008</v>
      </c>
      <c r="S38" s="10">
        <v>4.0325703224332008</v>
      </c>
      <c r="T38" s="10"/>
      <c r="U38" s="10">
        <v>2</v>
      </c>
      <c r="V38" s="10">
        <v>1.5384615384615381</v>
      </c>
      <c r="W38" s="10"/>
      <c r="X38" s="10">
        <f t="shared" si="0"/>
        <v>7.9137060000000004</v>
      </c>
      <c r="Y38" s="10"/>
    </row>
    <row r="39" spans="1:25">
      <c r="A39">
        <v>2055</v>
      </c>
      <c r="B39" s="10">
        <v>7.54</v>
      </c>
      <c r="C39" s="10">
        <v>3.2</v>
      </c>
      <c r="D39" s="10">
        <v>1.4</v>
      </c>
      <c r="E39" s="10">
        <v>1.4</v>
      </c>
      <c r="F39" s="10">
        <v>1.4</v>
      </c>
      <c r="G39" s="10">
        <v>1.4</v>
      </c>
      <c r="H39" s="10">
        <v>1.4</v>
      </c>
      <c r="I39" s="10">
        <v>1.4</v>
      </c>
      <c r="J39" s="10">
        <v>1.4</v>
      </c>
      <c r="K39" s="10">
        <v>1.4</v>
      </c>
      <c r="L39" s="10" t="e">
        <v>#REF!</v>
      </c>
      <c r="M39" s="10" t="e">
        <v>#REF!</v>
      </c>
      <c r="N39" s="10">
        <v>22</v>
      </c>
      <c r="O39" s="10">
        <v>2</v>
      </c>
      <c r="P39" s="10">
        <v>22</v>
      </c>
      <c r="Q39">
        <v>9.4964472000000004</v>
      </c>
      <c r="R39">
        <v>4.0325703224332008</v>
      </c>
      <c r="S39" s="10">
        <v>4.0325703224332008</v>
      </c>
      <c r="T39" s="10"/>
      <c r="U39" s="10">
        <v>2</v>
      </c>
      <c r="V39" s="10">
        <v>1.5384615384615381</v>
      </c>
      <c r="W39" s="10"/>
      <c r="X39" s="10">
        <f t="shared" si="0"/>
        <v>7.9137060000000004</v>
      </c>
      <c r="Y39" s="10"/>
    </row>
    <row r="40" spans="1:25">
      <c r="A40">
        <v>2056</v>
      </c>
      <c r="B40" s="10">
        <v>7.54</v>
      </c>
      <c r="C40" s="10">
        <v>3.2</v>
      </c>
      <c r="D40" s="10">
        <v>1.4</v>
      </c>
      <c r="E40" s="10">
        <v>1.4</v>
      </c>
      <c r="F40" s="10">
        <v>1.4</v>
      </c>
      <c r="G40" s="10">
        <v>1.4</v>
      </c>
      <c r="H40" s="10">
        <v>1.4</v>
      </c>
      <c r="I40" s="10">
        <v>1.4</v>
      </c>
      <c r="J40" s="10">
        <v>1.4</v>
      </c>
      <c r="K40" s="10">
        <v>1.4</v>
      </c>
      <c r="L40" s="10" t="e">
        <v>#REF!</v>
      </c>
      <c r="M40" s="10" t="e">
        <v>#REF!</v>
      </c>
      <c r="N40" s="10">
        <v>22</v>
      </c>
      <c r="O40" s="10">
        <v>2</v>
      </c>
      <c r="P40" s="10">
        <v>22</v>
      </c>
      <c r="Q40">
        <v>9.4964472000000004</v>
      </c>
      <c r="R40">
        <v>4.0325703224332008</v>
      </c>
      <c r="S40" s="10">
        <v>4.0325703224332008</v>
      </c>
      <c r="T40" s="10"/>
      <c r="U40" s="10">
        <v>2</v>
      </c>
      <c r="V40" s="10">
        <v>1.5384615384615381</v>
      </c>
      <c r="W40" s="10"/>
      <c r="X40" s="10">
        <f t="shared" si="0"/>
        <v>7.9137060000000004</v>
      </c>
      <c r="Y40" s="10"/>
    </row>
    <row r="41" spans="1:25">
      <c r="A41">
        <v>2057</v>
      </c>
      <c r="B41" s="10">
        <v>7.54</v>
      </c>
      <c r="C41" s="10">
        <v>3.2</v>
      </c>
      <c r="D41" s="10">
        <v>1.4</v>
      </c>
      <c r="E41" s="10">
        <v>1.4</v>
      </c>
      <c r="F41" s="10">
        <v>1.4</v>
      </c>
      <c r="G41" s="10">
        <v>1.4</v>
      </c>
      <c r="H41" s="10">
        <v>1.4</v>
      </c>
      <c r="I41" s="10">
        <v>1.4</v>
      </c>
      <c r="J41" s="10">
        <v>1.4</v>
      </c>
      <c r="K41" s="10">
        <v>1.4</v>
      </c>
      <c r="L41" s="10" t="e">
        <v>#REF!</v>
      </c>
      <c r="M41" s="10" t="e">
        <v>#REF!</v>
      </c>
      <c r="N41" s="10">
        <v>22</v>
      </c>
      <c r="O41" s="10">
        <v>2</v>
      </c>
      <c r="P41" s="10">
        <v>22</v>
      </c>
      <c r="Q41">
        <v>9.4964472000000004</v>
      </c>
      <c r="R41">
        <v>4.0325703224332008</v>
      </c>
      <c r="S41" s="10">
        <v>4.0325703224332008</v>
      </c>
      <c r="T41" s="10"/>
      <c r="U41" s="10">
        <v>2</v>
      </c>
      <c r="V41" s="10">
        <v>1.5384615384615381</v>
      </c>
      <c r="W41" s="10"/>
      <c r="X41" s="10">
        <f t="shared" si="0"/>
        <v>7.9137060000000004</v>
      </c>
      <c r="Y41" s="10"/>
    </row>
    <row r="42" spans="1:25">
      <c r="A42">
        <v>2058</v>
      </c>
      <c r="B42" s="10">
        <v>7.54</v>
      </c>
      <c r="C42" s="10">
        <v>3.2</v>
      </c>
      <c r="D42" s="10">
        <v>1.4</v>
      </c>
      <c r="E42" s="10">
        <v>1.4</v>
      </c>
      <c r="F42" s="10">
        <v>1.4</v>
      </c>
      <c r="G42" s="10">
        <v>1.4</v>
      </c>
      <c r="H42" s="10">
        <v>1.4</v>
      </c>
      <c r="I42" s="10">
        <v>1.4</v>
      </c>
      <c r="J42" s="10">
        <v>1.4</v>
      </c>
      <c r="K42" s="10">
        <v>1.4</v>
      </c>
      <c r="L42" s="10" t="e">
        <v>#REF!</v>
      </c>
      <c r="M42" s="10" t="e">
        <v>#REF!</v>
      </c>
      <c r="N42" s="10">
        <v>22</v>
      </c>
      <c r="O42" s="10">
        <v>2</v>
      </c>
      <c r="P42" s="10">
        <v>22</v>
      </c>
      <c r="Q42">
        <v>9.4964472000000004</v>
      </c>
      <c r="R42">
        <v>4.0325703224332008</v>
      </c>
      <c r="S42" s="10">
        <v>4.0325703224332008</v>
      </c>
      <c r="T42" s="10"/>
      <c r="U42" s="10">
        <v>2</v>
      </c>
      <c r="V42" s="10">
        <v>1.5384615384615381</v>
      </c>
      <c r="W42" s="10"/>
      <c r="X42" s="10">
        <f t="shared" si="0"/>
        <v>7.9137060000000004</v>
      </c>
      <c r="Y42" s="10"/>
    </row>
    <row r="43" spans="1:25">
      <c r="A43">
        <v>2059</v>
      </c>
      <c r="B43" s="10">
        <v>7.54</v>
      </c>
      <c r="C43" s="10">
        <v>3.2</v>
      </c>
      <c r="D43" s="10">
        <v>1.4</v>
      </c>
      <c r="E43" s="10">
        <v>1.4</v>
      </c>
      <c r="F43" s="10">
        <v>1.4</v>
      </c>
      <c r="G43" s="10">
        <v>1.4</v>
      </c>
      <c r="H43" s="10">
        <v>1.4</v>
      </c>
      <c r="I43" s="10">
        <v>1.4</v>
      </c>
      <c r="J43" s="10">
        <v>1.4</v>
      </c>
      <c r="K43" s="10">
        <v>1.4</v>
      </c>
      <c r="L43" s="10" t="e">
        <v>#REF!</v>
      </c>
      <c r="M43" s="10" t="e">
        <v>#REF!</v>
      </c>
      <c r="N43" s="10">
        <v>22</v>
      </c>
      <c r="O43" s="10">
        <v>2</v>
      </c>
      <c r="P43" s="10">
        <v>22</v>
      </c>
      <c r="Q43">
        <v>9.4964472000000004</v>
      </c>
      <c r="R43">
        <v>4.0325703224332008</v>
      </c>
      <c r="S43" s="10">
        <v>4.0325703224332008</v>
      </c>
      <c r="T43" s="10"/>
      <c r="U43" s="10">
        <v>2</v>
      </c>
      <c r="V43" s="10">
        <v>1.5384615384615381</v>
      </c>
      <c r="W43" s="10"/>
      <c r="X43" s="10">
        <f t="shared" si="0"/>
        <v>7.9137060000000004</v>
      </c>
      <c r="Y43" s="10"/>
    </row>
    <row r="44" spans="1:25">
      <c r="A44">
        <v>2060</v>
      </c>
      <c r="B44" s="10">
        <v>7.54</v>
      </c>
      <c r="C44" s="10">
        <v>3.2</v>
      </c>
      <c r="D44" s="10">
        <v>1.4</v>
      </c>
      <c r="E44" s="10">
        <v>1.4</v>
      </c>
      <c r="F44" s="10">
        <v>1.4</v>
      </c>
      <c r="G44" s="10">
        <v>1.4</v>
      </c>
      <c r="H44" s="10">
        <v>1.4</v>
      </c>
      <c r="I44" s="10">
        <v>1.4</v>
      </c>
      <c r="J44" s="10">
        <v>1.4</v>
      </c>
      <c r="K44" s="10">
        <v>1.4</v>
      </c>
      <c r="L44" s="10" t="e">
        <v>#REF!</v>
      </c>
      <c r="M44" s="10" t="e">
        <v>#REF!</v>
      </c>
      <c r="N44" s="10">
        <v>22</v>
      </c>
      <c r="O44" s="10">
        <v>2</v>
      </c>
      <c r="P44" s="10">
        <v>22</v>
      </c>
      <c r="Q44">
        <v>9.4964472000000004</v>
      </c>
      <c r="R44">
        <v>4.0325703224332008</v>
      </c>
      <c r="S44" s="10">
        <v>4.0325703224332008</v>
      </c>
      <c r="T44" s="10"/>
      <c r="U44" s="10">
        <v>2</v>
      </c>
      <c r="V44" s="10">
        <v>1.5384615384615381</v>
      </c>
      <c r="W44" s="10"/>
      <c r="X44" s="10">
        <f t="shared" si="0"/>
        <v>7.9137060000000004</v>
      </c>
      <c r="Y44" s="10"/>
    </row>
    <row r="45" spans="1:25">
      <c r="F45" s="1"/>
      <c r="G45" s="1"/>
      <c r="H45" s="1"/>
      <c r="I45" s="1"/>
      <c r="J45" s="1"/>
    </row>
  </sheetData>
  <phoneticPr fontId="1" type="noConversion"/>
  <hyperlinks>
    <hyperlink ref="Z4" r:id="rId1" display="https://www.chyxx.com/shuju/1175093.html" xr:uid="{00000000-0004-0000-0200-000000000000}"/>
    <hyperlink ref="Z5" r:id="rId2" location=":~:text=%E6%95%B0%E6%8D%AE%E6%98%BE%E7%A4%BA%EF%BC%8C%E4%BB%A5%E5%90%A8%E6%B0%A8%E4%BB%B7%E6%A0%BC3500%E5%85%83%E4%B8%BA%E6%B5%8B%E7%AE%97%E5%9F%BA%E7%A1%80%EF%BC%8C5.67%E5%90%A8%E6%B0%A8%E5%88%86%E8%A7%A3%E4%BA%A7%E7%94%9F%E7%BA%A61%E5%90%A8%E6%B0%A2%E6%B0%94%EF%BC%8C%E6%B0%A2%E6%B0%94%E7%9A%84%E5%8E%9F%E6%96%99%E6%88%90%E6%9C%AC%E7%BA%A620%E5%85%83%2F%E5%8D%83%E5%85%8B%E3%80%82,%E8%80%83%E8%99%91%E6%B0%A8%E5%88%B6%E6%B0%A2%E8%AE%BE%E5%A4%87%E6%8A%95%E8%B5%84%E6%88%90%E6%9C%AC%E5%90%8E%EF%BC%8C%E6%B0%A8%E7%8E%B0%E5%9C%BA%E5%88%B6%E6%B0%A2%E4%BE%9B%E6%B0%A2%E7%9A%84%E4%BB%B7%E6%A0%BC%E5%8F%AF%E6%8E%A7%E5%88%B6%E5%9C%A835%E5%85%83%2F%E5%8D%83%E5%85%8B%E4%BB%A5%E5%86%85%E3%80%82" display="https://h2.in-en.com/html/h2-2430438.shtml - :~:text=%E6%95%B0%E6%8D%AE%E6%98%BE%E7%A4%BA%EF%BC%8C%E4%BB%A5%E5%90%A8%E6%B0%A8%E4%BB%B7%E6%A0%BC3500%E5%85%83%E4%B8%BA%E6%B5%8B%E7%AE%97%E5%9F%BA%E7%A1%80%EF%BC%8C5.67%E5%90%A8%E6%B0%A8%E5%88%86%E8%A7%A3%E4%BA%A7%E7%94%9F%E7%BA%A61%E5%90%A8%E6%B0%A2%E6%B0%94%EF%BC%8C%E6%B0%A2%E6%B0%94%E7%9A%84%E5%8E%9F%E6%96%99%E6%88%90%E6%9C%AC%E7%BA%A620%E5%85%83%2F%E5%8D%83%E5%85%8B%E3%80%82,%E8%80%83%E8%99%91%E6%B0%A8%E5%88%B6%E6%B0%A2%E8%AE%BE%E5%A4%87%E6%8A%95%E8%B5%84%E6%88%90%E6%9C%AC%E5%90%8E%EF%BC%8C%E6%B0%A8%E7%8E%B0%E5%9C%BA%E5%88%B6%E6%B0%A2%E4%BE%9B%E6%B0%A2%E7%9A%84%E4%BB%B7%E6%A0%BC%E5%8F%AF%E6%8E%A7%E5%88%B6%E5%9C%A835%E5%85%83%2F%E5%8D%83%E5%85%8B%E4%BB%A5%E5%86%85%E3%80%82" xr:uid="{00000000-0004-0000-0200-000001000000}"/>
    <hyperlink ref="Z6" r:id="rId3" display="https://new.qq.com/rain/a/20210924A05MUD00" xr:uid="{00000000-0004-0000-0200-000002000000}"/>
    <hyperlink ref="AJ1" r:id="rId4" display="https://mp.weixin.qq.com/s/LS6F7tO_IfpvyIbF9inp5w" xr:uid="{1606ED64-17E5-493B-8B08-C4738B2415BD}"/>
    <hyperlink ref="AI5" r:id="rId5" display="https://mp.weixin.qq.com/s/Jk1qbY4m3eRsBIlUu1Tz7Q" xr:uid="{5C43E17E-2B93-4103-BCE6-EBFC5A330E8B}"/>
    <hyperlink ref="AJ9" r:id="rId6" display="https://mp.weixin.qq.com/s/H3122spLjVGRVGzmtzjYnw" xr:uid="{A7B27DD4-D2AE-43AB-B5A0-41C602E64A2D}"/>
    <hyperlink ref="AI13" r:id="rId7" display="https://www.huaon.com/channel/tradedata/1056232.html" xr:uid="{96213062-8660-4793-A600-33C54A796F17}"/>
  </hyperlinks>
  <pageMargins left="0.7" right="0.7" top="0.75" bottom="0.75" header="0.3" footer="0.3"/>
  <drawing r:id="rId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44"/>
  <sheetViews>
    <sheetView zoomScale="70" zoomScaleNormal="70" workbookViewId="0">
      <selection activeCell="J15" sqref="J15"/>
    </sheetView>
  </sheetViews>
  <sheetFormatPr defaultRowHeight="15.6"/>
  <sheetData>
    <row r="1" spans="1:18" ht="16.2">
      <c r="B1" s="12" t="s">
        <v>31</v>
      </c>
      <c r="C1" s="12" t="s">
        <v>32</v>
      </c>
      <c r="D1" s="12" t="s">
        <v>33</v>
      </c>
      <c r="E1" s="12" t="s">
        <v>34</v>
      </c>
      <c r="F1" s="12" t="s">
        <v>36</v>
      </c>
      <c r="G1" s="12" t="s">
        <v>37</v>
      </c>
      <c r="H1" s="12" t="s">
        <v>38</v>
      </c>
      <c r="I1" s="12" t="s">
        <v>41</v>
      </c>
      <c r="J1" s="12" t="s">
        <v>42</v>
      </c>
      <c r="K1" s="12" t="s">
        <v>40</v>
      </c>
      <c r="L1" s="12" t="s">
        <v>43</v>
      </c>
      <c r="M1" s="12" t="s">
        <v>44</v>
      </c>
      <c r="N1" s="12" t="s">
        <v>45</v>
      </c>
      <c r="O1" s="12" t="s">
        <v>46</v>
      </c>
      <c r="P1" s="12" t="s">
        <v>47</v>
      </c>
      <c r="Q1" s="12" t="s">
        <v>48</v>
      </c>
      <c r="R1" s="12" t="s">
        <v>49</v>
      </c>
    </row>
    <row r="2" spans="1:18" ht="16.2">
      <c r="A2" s="12">
        <v>2018</v>
      </c>
      <c r="B2" s="2">
        <v>1</v>
      </c>
      <c r="C2" s="2">
        <v>1</v>
      </c>
      <c r="D2" s="2">
        <v>1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2">
        <v>1</v>
      </c>
      <c r="M2" s="2">
        <v>1</v>
      </c>
      <c r="N2" s="2">
        <v>1</v>
      </c>
      <c r="O2" s="2">
        <v>1</v>
      </c>
      <c r="P2" s="2">
        <v>1</v>
      </c>
      <c r="Q2" s="2">
        <v>1</v>
      </c>
      <c r="R2" s="2">
        <v>1</v>
      </c>
    </row>
    <row r="3" spans="1:18" ht="16.2">
      <c r="A3" s="12">
        <v>2019</v>
      </c>
      <c r="B3" s="2">
        <v>1</v>
      </c>
      <c r="C3" s="2">
        <v>1</v>
      </c>
      <c r="D3" s="2">
        <v>1</v>
      </c>
      <c r="E3" s="2">
        <v>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  <c r="M3" s="2">
        <v>1</v>
      </c>
      <c r="N3" s="2">
        <v>1</v>
      </c>
      <c r="O3" s="2">
        <v>1</v>
      </c>
      <c r="P3" s="2">
        <v>1</v>
      </c>
      <c r="Q3" s="2">
        <v>1</v>
      </c>
      <c r="R3" s="2">
        <v>1</v>
      </c>
    </row>
    <row r="4" spans="1:18" ht="16.2">
      <c r="A4" s="12">
        <v>2020</v>
      </c>
      <c r="B4" s="2">
        <v>1</v>
      </c>
      <c r="C4" s="2">
        <v>1</v>
      </c>
      <c r="D4" s="2">
        <v>1</v>
      </c>
      <c r="E4" s="2">
        <v>1</v>
      </c>
      <c r="F4" s="2">
        <v>1</v>
      </c>
      <c r="G4" s="2">
        <v>1</v>
      </c>
      <c r="H4" s="2">
        <v>1</v>
      </c>
      <c r="I4" s="2">
        <v>1</v>
      </c>
      <c r="J4" s="2">
        <v>1</v>
      </c>
      <c r="K4" s="2">
        <v>1</v>
      </c>
      <c r="L4" s="2">
        <v>1</v>
      </c>
      <c r="M4" s="2">
        <v>1</v>
      </c>
      <c r="N4" s="2">
        <v>1</v>
      </c>
      <c r="O4" s="2">
        <v>1</v>
      </c>
      <c r="P4" s="2">
        <v>1</v>
      </c>
      <c r="Q4" s="2">
        <v>1</v>
      </c>
      <c r="R4" s="2">
        <v>1</v>
      </c>
    </row>
    <row r="5" spans="1:18" ht="16.2">
      <c r="A5" s="12">
        <v>2021</v>
      </c>
      <c r="B5" s="2">
        <v>1</v>
      </c>
      <c r="C5" s="2">
        <v>1</v>
      </c>
      <c r="D5" s="2">
        <v>1</v>
      </c>
      <c r="E5" s="2">
        <v>1</v>
      </c>
      <c r="F5" s="2">
        <v>1</v>
      </c>
      <c r="G5" s="2">
        <v>1</v>
      </c>
      <c r="H5" s="2">
        <v>1</v>
      </c>
      <c r="I5" s="2">
        <v>1</v>
      </c>
      <c r="J5" s="2">
        <v>1</v>
      </c>
      <c r="K5" s="2">
        <v>1</v>
      </c>
      <c r="L5" s="2">
        <v>1</v>
      </c>
      <c r="M5" s="2">
        <v>1</v>
      </c>
      <c r="N5" s="2">
        <v>1</v>
      </c>
      <c r="O5" s="2">
        <v>1</v>
      </c>
      <c r="P5" s="2">
        <v>1</v>
      </c>
      <c r="Q5" s="2">
        <v>1</v>
      </c>
      <c r="R5" s="2">
        <v>1</v>
      </c>
    </row>
    <row r="6" spans="1:18" ht="16.2">
      <c r="A6" s="12">
        <v>2022</v>
      </c>
      <c r="B6" s="2">
        <v>1</v>
      </c>
      <c r="C6" s="2">
        <v>1</v>
      </c>
      <c r="D6" s="2">
        <v>1</v>
      </c>
      <c r="E6" s="2">
        <v>1</v>
      </c>
      <c r="F6" s="2">
        <v>1</v>
      </c>
      <c r="G6" s="2">
        <v>1</v>
      </c>
      <c r="H6" s="2">
        <v>1</v>
      </c>
      <c r="I6" s="2">
        <v>1</v>
      </c>
      <c r="J6" s="2">
        <v>1</v>
      </c>
      <c r="K6" s="2">
        <v>1</v>
      </c>
      <c r="L6" s="2">
        <v>1</v>
      </c>
      <c r="M6" s="2">
        <v>1</v>
      </c>
      <c r="N6" s="2">
        <v>1</v>
      </c>
      <c r="O6" s="2">
        <v>1</v>
      </c>
      <c r="P6" s="2">
        <v>1</v>
      </c>
      <c r="Q6" s="2">
        <v>1</v>
      </c>
      <c r="R6" s="2">
        <v>1</v>
      </c>
    </row>
    <row r="7" spans="1:18" ht="16.2">
      <c r="A7" s="12">
        <v>2023</v>
      </c>
      <c r="B7" s="2">
        <v>1</v>
      </c>
      <c r="C7" s="2">
        <v>1</v>
      </c>
      <c r="D7" s="2">
        <v>1</v>
      </c>
      <c r="E7" s="2">
        <v>1</v>
      </c>
      <c r="F7" s="2">
        <v>1</v>
      </c>
      <c r="G7" s="2">
        <v>1</v>
      </c>
      <c r="H7" s="2">
        <v>1</v>
      </c>
      <c r="I7" s="2">
        <v>1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1</v>
      </c>
      <c r="P7" s="2">
        <v>1</v>
      </c>
      <c r="Q7" s="2">
        <v>1</v>
      </c>
      <c r="R7" s="2">
        <v>1</v>
      </c>
    </row>
    <row r="8" spans="1:18" ht="16.2">
      <c r="A8" s="12">
        <v>2024</v>
      </c>
      <c r="B8" s="2">
        <v>1</v>
      </c>
      <c r="C8" s="2">
        <v>1</v>
      </c>
      <c r="D8" s="2">
        <v>1</v>
      </c>
      <c r="E8" s="2">
        <v>1</v>
      </c>
      <c r="F8" s="2">
        <v>1</v>
      </c>
      <c r="G8" s="2">
        <v>1</v>
      </c>
      <c r="H8" s="2">
        <v>1</v>
      </c>
      <c r="I8" s="2">
        <v>1</v>
      </c>
      <c r="J8" s="2">
        <v>1</v>
      </c>
      <c r="K8" s="2">
        <v>1</v>
      </c>
      <c r="L8" s="2">
        <v>1</v>
      </c>
      <c r="M8" s="2">
        <v>1</v>
      </c>
      <c r="N8" s="2">
        <v>1</v>
      </c>
      <c r="O8" s="2">
        <v>1</v>
      </c>
      <c r="P8" s="2">
        <v>1</v>
      </c>
      <c r="Q8" s="2">
        <v>1</v>
      </c>
      <c r="R8" s="2">
        <v>1</v>
      </c>
    </row>
    <row r="9" spans="1:18" ht="16.2">
      <c r="A9" s="12">
        <v>2025</v>
      </c>
      <c r="B9" s="2">
        <v>1</v>
      </c>
      <c r="C9" s="2">
        <v>1</v>
      </c>
      <c r="D9" s="2">
        <v>1</v>
      </c>
      <c r="E9" s="2">
        <v>1</v>
      </c>
      <c r="F9" s="2">
        <v>1</v>
      </c>
      <c r="G9" s="2">
        <v>1</v>
      </c>
      <c r="H9" s="2">
        <v>1</v>
      </c>
      <c r="I9" s="2">
        <v>1</v>
      </c>
      <c r="J9" s="2">
        <v>1</v>
      </c>
      <c r="K9" s="2">
        <v>1</v>
      </c>
      <c r="L9" s="2">
        <v>1</v>
      </c>
      <c r="M9" s="2">
        <v>1</v>
      </c>
      <c r="N9" s="2">
        <v>1</v>
      </c>
      <c r="O9" s="2">
        <v>1</v>
      </c>
      <c r="P9" s="2">
        <v>1</v>
      </c>
      <c r="Q9" s="2">
        <v>1</v>
      </c>
      <c r="R9" s="2">
        <v>1</v>
      </c>
    </row>
    <row r="10" spans="1:18" ht="16.2">
      <c r="A10" s="12">
        <v>2026</v>
      </c>
      <c r="B10" s="2">
        <v>1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1</v>
      </c>
      <c r="P10" s="2">
        <v>1</v>
      </c>
      <c r="Q10" s="2">
        <v>1</v>
      </c>
      <c r="R10" s="2">
        <v>1</v>
      </c>
    </row>
    <row r="11" spans="1:18" ht="16.2">
      <c r="A11" s="12">
        <v>2027</v>
      </c>
      <c r="B11" s="2">
        <v>1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  <c r="K11" s="2">
        <v>1</v>
      </c>
      <c r="L11" s="2">
        <v>1</v>
      </c>
      <c r="M11" s="2">
        <v>1</v>
      </c>
      <c r="N11" s="2">
        <v>1</v>
      </c>
      <c r="O11" s="2">
        <v>1</v>
      </c>
      <c r="P11" s="2">
        <v>1</v>
      </c>
      <c r="Q11" s="2">
        <v>1</v>
      </c>
      <c r="R11" s="2">
        <v>1</v>
      </c>
    </row>
    <row r="12" spans="1:18" ht="16.2">
      <c r="A12" s="12">
        <v>2028</v>
      </c>
      <c r="B12" s="2">
        <v>1</v>
      </c>
      <c r="C12" s="2">
        <v>1</v>
      </c>
      <c r="D12" s="2">
        <v>1</v>
      </c>
      <c r="E12" s="2">
        <v>1</v>
      </c>
      <c r="F12" s="2">
        <v>1</v>
      </c>
      <c r="G12" s="2">
        <v>1</v>
      </c>
      <c r="H12" s="2">
        <v>1</v>
      </c>
      <c r="I12" s="2">
        <v>1</v>
      </c>
      <c r="J12" s="2">
        <v>1</v>
      </c>
      <c r="K12" s="2">
        <v>1</v>
      </c>
      <c r="L12" s="2">
        <v>1</v>
      </c>
      <c r="M12" s="2">
        <v>1</v>
      </c>
      <c r="N12" s="2">
        <v>1</v>
      </c>
      <c r="O12" s="2">
        <v>1</v>
      </c>
      <c r="P12" s="2">
        <v>1</v>
      </c>
      <c r="Q12" s="2">
        <v>1</v>
      </c>
      <c r="R12" s="2">
        <v>1</v>
      </c>
    </row>
    <row r="13" spans="1:18" ht="16.2">
      <c r="A13" s="12">
        <v>2029</v>
      </c>
      <c r="B13" s="2">
        <v>1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1</v>
      </c>
      <c r="I13" s="2">
        <v>1</v>
      </c>
      <c r="J13" s="2">
        <v>1</v>
      </c>
      <c r="K13" s="2">
        <v>1</v>
      </c>
      <c r="L13" s="2">
        <v>1</v>
      </c>
      <c r="M13" s="2">
        <v>1</v>
      </c>
      <c r="N13" s="2">
        <v>1</v>
      </c>
      <c r="O13" s="2">
        <v>1</v>
      </c>
      <c r="P13" s="2">
        <v>1</v>
      </c>
      <c r="Q13" s="2">
        <v>1</v>
      </c>
      <c r="R13" s="2">
        <v>1</v>
      </c>
    </row>
    <row r="14" spans="1:18" ht="16.2">
      <c r="A14" s="12">
        <v>2030</v>
      </c>
      <c r="B14" s="2">
        <v>1</v>
      </c>
      <c r="C14" s="2">
        <v>1</v>
      </c>
      <c r="D14" s="2">
        <v>1</v>
      </c>
      <c r="E14" s="2">
        <v>1</v>
      </c>
      <c r="F14" s="2">
        <v>1</v>
      </c>
      <c r="G14" s="2">
        <v>1</v>
      </c>
      <c r="H14" s="2">
        <v>1</v>
      </c>
      <c r="I14" s="2">
        <v>1</v>
      </c>
      <c r="J14" s="2">
        <v>1</v>
      </c>
      <c r="K14" s="2">
        <v>1</v>
      </c>
      <c r="L14" s="2">
        <v>1</v>
      </c>
      <c r="M14" s="2">
        <v>1</v>
      </c>
      <c r="N14" s="2">
        <v>1</v>
      </c>
      <c r="O14" s="2">
        <v>1</v>
      </c>
      <c r="P14" s="2">
        <v>1</v>
      </c>
      <c r="Q14" s="2">
        <v>1</v>
      </c>
      <c r="R14" s="2">
        <v>1</v>
      </c>
    </row>
    <row r="15" spans="1:18" ht="16.2">
      <c r="A15" s="12">
        <v>2031</v>
      </c>
      <c r="B15" s="2">
        <v>1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1</v>
      </c>
      <c r="I15" s="2">
        <v>1</v>
      </c>
      <c r="J15" s="2">
        <v>1</v>
      </c>
      <c r="K15" s="2">
        <v>1</v>
      </c>
      <c r="L15" s="2">
        <v>1</v>
      </c>
      <c r="M15" s="2">
        <v>1</v>
      </c>
      <c r="N15" s="2">
        <v>1</v>
      </c>
      <c r="O15" s="2">
        <v>1</v>
      </c>
      <c r="P15" s="2">
        <v>1</v>
      </c>
      <c r="Q15" s="2">
        <v>1</v>
      </c>
      <c r="R15" s="2">
        <v>1</v>
      </c>
    </row>
    <row r="16" spans="1:18" ht="16.2">
      <c r="A16" s="12">
        <v>2032</v>
      </c>
      <c r="B16" s="2">
        <v>1</v>
      </c>
      <c r="C16" s="2">
        <v>1</v>
      </c>
      <c r="D16" s="2">
        <v>1</v>
      </c>
      <c r="E16" s="2">
        <v>1</v>
      </c>
      <c r="F16" s="2">
        <v>1</v>
      </c>
      <c r="G16" s="2">
        <v>1</v>
      </c>
      <c r="H16" s="2">
        <v>1</v>
      </c>
      <c r="I16" s="2">
        <v>1</v>
      </c>
      <c r="J16" s="2">
        <v>1</v>
      </c>
      <c r="K16" s="2">
        <v>1</v>
      </c>
      <c r="L16" s="2">
        <v>1</v>
      </c>
      <c r="M16" s="2">
        <v>1</v>
      </c>
      <c r="N16" s="2">
        <v>1</v>
      </c>
      <c r="O16" s="2">
        <v>1</v>
      </c>
      <c r="P16" s="2">
        <v>1</v>
      </c>
      <c r="Q16" s="2">
        <v>1</v>
      </c>
      <c r="R16" s="2">
        <v>1</v>
      </c>
    </row>
    <row r="17" spans="1:18" ht="16.2">
      <c r="A17" s="12">
        <v>2033</v>
      </c>
      <c r="B17" s="2">
        <v>1</v>
      </c>
      <c r="C17" s="2">
        <v>1</v>
      </c>
      <c r="D17" s="2">
        <v>1</v>
      </c>
      <c r="E17" s="2">
        <v>1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  <c r="K17" s="2">
        <v>1</v>
      </c>
      <c r="L17" s="2">
        <v>1</v>
      </c>
      <c r="M17" s="2">
        <v>1</v>
      </c>
      <c r="N17" s="2">
        <v>1</v>
      </c>
      <c r="O17" s="2">
        <v>1</v>
      </c>
      <c r="P17" s="2">
        <v>1</v>
      </c>
      <c r="Q17" s="2">
        <v>1</v>
      </c>
      <c r="R17" s="2">
        <v>1</v>
      </c>
    </row>
    <row r="18" spans="1:18" ht="16.2">
      <c r="A18" s="12">
        <v>2034</v>
      </c>
      <c r="B18" s="2">
        <v>1</v>
      </c>
      <c r="C18" s="2">
        <v>1</v>
      </c>
      <c r="D18" s="2">
        <v>1</v>
      </c>
      <c r="E18" s="2">
        <v>1</v>
      </c>
      <c r="F18" s="2">
        <v>1</v>
      </c>
      <c r="G18" s="2">
        <v>1</v>
      </c>
      <c r="H18" s="2">
        <v>1</v>
      </c>
      <c r="I18" s="2">
        <v>1</v>
      </c>
      <c r="J18" s="2">
        <v>1</v>
      </c>
      <c r="K18" s="2">
        <v>1</v>
      </c>
      <c r="L18" s="2">
        <v>1</v>
      </c>
      <c r="M18" s="2">
        <v>1</v>
      </c>
      <c r="N18" s="2">
        <v>1</v>
      </c>
      <c r="O18" s="2">
        <v>1</v>
      </c>
      <c r="P18" s="2">
        <v>1</v>
      </c>
      <c r="Q18" s="2">
        <v>1</v>
      </c>
      <c r="R18" s="2">
        <v>1</v>
      </c>
    </row>
    <row r="19" spans="1:18" ht="16.2">
      <c r="A19" s="12">
        <v>2035</v>
      </c>
      <c r="B19" s="2">
        <v>1</v>
      </c>
      <c r="C19" s="2">
        <v>1</v>
      </c>
      <c r="D19" s="2">
        <v>1</v>
      </c>
      <c r="E19" s="2">
        <v>1</v>
      </c>
      <c r="F19" s="2">
        <v>1</v>
      </c>
      <c r="G19" s="2">
        <v>1</v>
      </c>
      <c r="H19" s="2">
        <v>1</v>
      </c>
      <c r="I19" s="2">
        <v>1</v>
      </c>
      <c r="J19" s="2">
        <v>1</v>
      </c>
      <c r="K19" s="2">
        <v>1</v>
      </c>
      <c r="L19" s="2">
        <v>1</v>
      </c>
      <c r="M19" s="2">
        <v>1</v>
      </c>
      <c r="N19" s="2">
        <v>1</v>
      </c>
      <c r="O19" s="2">
        <v>1</v>
      </c>
      <c r="P19" s="2">
        <v>1</v>
      </c>
      <c r="Q19" s="2">
        <v>1</v>
      </c>
      <c r="R19" s="2">
        <v>1</v>
      </c>
    </row>
    <row r="20" spans="1:18" ht="16.2">
      <c r="A20" s="12">
        <v>2036</v>
      </c>
      <c r="B20" s="2">
        <v>1</v>
      </c>
      <c r="C20" s="2">
        <v>1</v>
      </c>
      <c r="D20" s="2">
        <v>1</v>
      </c>
      <c r="E20" s="2">
        <v>1</v>
      </c>
      <c r="F20" s="2">
        <v>1</v>
      </c>
      <c r="G20" s="2">
        <v>1</v>
      </c>
      <c r="H20" s="2">
        <v>1</v>
      </c>
      <c r="I20" s="2">
        <v>1</v>
      </c>
      <c r="J20" s="2">
        <v>1</v>
      </c>
      <c r="K20" s="2">
        <v>1</v>
      </c>
      <c r="L20" s="2">
        <v>1</v>
      </c>
      <c r="M20" s="2">
        <v>1</v>
      </c>
      <c r="N20" s="2">
        <v>1</v>
      </c>
      <c r="O20" s="2">
        <v>1</v>
      </c>
      <c r="P20" s="2">
        <v>1</v>
      </c>
      <c r="Q20" s="2">
        <v>1</v>
      </c>
      <c r="R20" s="2">
        <v>1</v>
      </c>
    </row>
    <row r="21" spans="1:18" ht="16.2">
      <c r="A21" s="12">
        <v>2037</v>
      </c>
      <c r="B21" s="2">
        <v>1</v>
      </c>
      <c r="C21" s="2">
        <v>1</v>
      </c>
      <c r="D21" s="2">
        <v>1</v>
      </c>
      <c r="E21" s="2">
        <v>1</v>
      </c>
      <c r="F21" s="2">
        <v>1</v>
      </c>
      <c r="G21" s="2">
        <v>1</v>
      </c>
      <c r="H21" s="2">
        <v>1</v>
      </c>
      <c r="I21" s="2">
        <v>1</v>
      </c>
      <c r="J21" s="2">
        <v>1</v>
      </c>
      <c r="K21" s="2">
        <v>1</v>
      </c>
      <c r="L21" s="2">
        <v>1</v>
      </c>
      <c r="M21" s="2">
        <v>1</v>
      </c>
      <c r="N21" s="2">
        <v>1</v>
      </c>
      <c r="O21" s="2">
        <v>1</v>
      </c>
      <c r="P21" s="2">
        <v>1</v>
      </c>
      <c r="Q21" s="2">
        <v>1</v>
      </c>
      <c r="R21" s="2">
        <v>1</v>
      </c>
    </row>
    <row r="22" spans="1:18" ht="16.2">
      <c r="A22" s="12">
        <v>2038</v>
      </c>
      <c r="B22" s="2">
        <v>1</v>
      </c>
      <c r="C22" s="2">
        <v>1</v>
      </c>
      <c r="D22" s="2">
        <v>1</v>
      </c>
      <c r="E22" s="2">
        <v>1</v>
      </c>
      <c r="F22" s="2">
        <v>1</v>
      </c>
      <c r="G22" s="2">
        <v>1</v>
      </c>
      <c r="H22" s="2">
        <v>1</v>
      </c>
      <c r="I22" s="2">
        <v>1</v>
      </c>
      <c r="J22" s="2">
        <v>1</v>
      </c>
      <c r="K22" s="2">
        <v>1</v>
      </c>
      <c r="L22" s="2">
        <v>1</v>
      </c>
      <c r="M22" s="2">
        <v>1</v>
      </c>
      <c r="N22" s="2">
        <v>1</v>
      </c>
      <c r="O22" s="2">
        <v>1</v>
      </c>
      <c r="P22" s="2">
        <v>1</v>
      </c>
      <c r="Q22" s="2">
        <v>1</v>
      </c>
      <c r="R22" s="2">
        <v>1</v>
      </c>
    </row>
    <row r="23" spans="1:18" ht="16.2">
      <c r="A23" s="12">
        <v>2039</v>
      </c>
      <c r="B23" s="2">
        <v>1</v>
      </c>
      <c r="C23" s="2">
        <v>1</v>
      </c>
      <c r="D23" s="2">
        <v>1</v>
      </c>
      <c r="E23" s="2">
        <v>1</v>
      </c>
      <c r="F23" s="2">
        <v>1</v>
      </c>
      <c r="G23" s="2">
        <v>1</v>
      </c>
      <c r="H23" s="2">
        <v>1</v>
      </c>
      <c r="I23" s="2">
        <v>1</v>
      </c>
      <c r="J23" s="2">
        <v>1</v>
      </c>
      <c r="K23" s="2">
        <v>1</v>
      </c>
      <c r="L23" s="2">
        <v>1</v>
      </c>
      <c r="M23" s="2">
        <v>1</v>
      </c>
      <c r="N23" s="2">
        <v>1</v>
      </c>
      <c r="O23" s="2">
        <v>1</v>
      </c>
      <c r="P23" s="2">
        <v>1</v>
      </c>
      <c r="Q23" s="2">
        <v>1</v>
      </c>
      <c r="R23" s="2">
        <v>1</v>
      </c>
    </row>
    <row r="24" spans="1:18" ht="16.2">
      <c r="A24" s="12">
        <v>2040</v>
      </c>
      <c r="B24" s="2">
        <v>1</v>
      </c>
      <c r="C24" s="2">
        <v>1</v>
      </c>
      <c r="D24" s="2">
        <v>1</v>
      </c>
      <c r="E24" s="2">
        <v>1</v>
      </c>
      <c r="F24" s="2">
        <v>1</v>
      </c>
      <c r="G24" s="2">
        <v>1</v>
      </c>
      <c r="H24" s="2">
        <v>1</v>
      </c>
      <c r="I24" s="2">
        <v>1</v>
      </c>
      <c r="J24" s="2">
        <v>1</v>
      </c>
      <c r="K24" s="2">
        <v>1</v>
      </c>
      <c r="L24" s="2">
        <v>1</v>
      </c>
      <c r="M24" s="2">
        <v>1</v>
      </c>
      <c r="N24" s="2">
        <v>1</v>
      </c>
      <c r="O24" s="2">
        <v>1</v>
      </c>
      <c r="P24" s="2">
        <v>1</v>
      </c>
      <c r="Q24" s="2">
        <v>1</v>
      </c>
      <c r="R24" s="2">
        <v>1</v>
      </c>
    </row>
    <row r="25" spans="1:18" ht="16.2">
      <c r="A25" s="12">
        <v>2041</v>
      </c>
      <c r="B25" s="2">
        <v>1</v>
      </c>
      <c r="C25" s="2">
        <v>1</v>
      </c>
      <c r="D25" s="2">
        <v>1</v>
      </c>
      <c r="E25" s="2">
        <v>1</v>
      </c>
      <c r="F25" s="2">
        <v>1</v>
      </c>
      <c r="G25" s="2">
        <v>1</v>
      </c>
      <c r="H25" s="2">
        <v>1</v>
      </c>
      <c r="I25" s="2">
        <v>1</v>
      </c>
      <c r="J25" s="2">
        <v>1</v>
      </c>
      <c r="K25" s="2">
        <v>1</v>
      </c>
      <c r="L25" s="2">
        <v>1</v>
      </c>
      <c r="M25" s="2">
        <v>1</v>
      </c>
      <c r="N25" s="2">
        <v>1</v>
      </c>
      <c r="O25" s="2">
        <v>1</v>
      </c>
      <c r="P25" s="2">
        <v>1</v>
      </c>
      <c r="Q25" s="2">
        <v>1</v>
      </c>
      <c r="R25" s="2">
        <v>1</v>
      </c>
    </row>
    <row r="26" spans="1:18" ht="16.2">
      <c r="A26" s="12">
        <v>2042</v>
      </c>
      <c r="B26" s="2">
        <v>1</v>
      </c>
      <c r="C26" s="2">
        <v>1</v>
      </c>
      <c r="D26" s="2">
        <v>1</v>
      </c>
      <c r="E26" s="2">
        <v>1</v>
      </c>
      <c r="F26" s="2">
        <v>1</v>
      </c>
      <c r="G26" s="2">
        <v>1</v>
      </c>
      <c r="H26" s="2">
        <v>1</v>
      </c>
      <c r="I26" s="2">
        <v>1</v>
      </c>
      <c r="J26" s="2">
        <v>1</v>
      </c>
      <c r="K26" s="2">
        <v>1</v>
      </c>
      <c r="L26" s="2">
        <v>1</v>
      </c>
      <c r="M26" s="2">
        <v>1</v>
      </c>
      <c r="N26" s="2">
        <v>1</v>
      </c>
      <c r="O26" s="2">
        <v>1</v>
      </c>
      <c r="P26" s="2">
        <v>1</v>
      </c>
      <c r="Q26" s="2">
        <v>1</v>
      </c>
      <c r="R26" s="2">
        <v>1</v>
      </c>
    </row>
    <row r="27" spans="1:18" ht="16.2">
      <c r="A27" s="12">
        <v>2043</v>
      </c>
      <c r="B27" s="2">
        <v>1</v>
      </c>
      <c r="C27" s="2">
        <v>1</v>
      </c>
      <c r="D27" s="2">
        <v>1</v>
      </c>
      <c r="E27" s="2">
        <v>1</v>
      </c>
      <c r="F27" s="2">
        <v>1</v>
      </c>
      <c r="G27" s="2">
        <v>1</v>
      </c>
      <c r="H27" s="2">
        <v>1</v>
      </c>
      <c r="I27" s="2">
        <v>1</v>
      </c>
      <c r="J27" s="2">
        <v>1</v>
      </c>
      <c r="K27" s="2">
        <v>1</v>
      </c>
      <c r="L27" s="2">
        <v>1</v>
      </c>
      <c r="M27" s="2">
        <v>1</v>
      </c>
      <c r="N27" s="2">
        <v>1</v>
      </c>
      <c r="O27" s="2">
        <v>1</v>
      </c>
      <c r="P27" s="2">
        <v>1</v>
      </c>
      <c r="Q27" s="2">
        <v>1</v>
      </c>
      <c r="R27" s="2">
        <v>1</v>
      </c>
    </row>
    <row r="28" spans="1:18" ht="16.2">
      <c r="A28" s="12">
        <v>2044</v>
      </c>
      <c r="B28" s="2">
        <v>1</v>
      </c>
      <c r="C28" s="2">
        <v>1</v>
      </c>
      <c r="D28" s="2">
        <v>1</v>
      </c>
      <c r="E28" s="2">
        <v>1</v>
      </c>
      <c r="F28" s="2">
        <v>1</v>
      </c>
      <c r="G28" s="2">
        <v>1</v>
      </c>
      <c r="H28" s="2">
        <v>1</v>
      </c>
      <c r="I28" s="2">
        <v>1</v>
      </c>
      <c r="J28" s="2">
        <v>1</v>
      </c>
      <c r="K28" s="2">
        <v>1</v>
      </c>
      <c r="L28" s="2">
        <v>1</v>
      </c>
      <c r="M28" s="2">
        <v>1</v>
      </c>
      <c r="N28" s="2">
        <v>1</v>
      </c>
      <c r="O28" s="2">
        <v>1</v>
      </c>
      <c r="P28" s="2">
        <v>1</v>
      </c>
      <c r="Q28" s="2">
        <v>1</v>
      </c>
      <c r="R28" s="2">
        <v>1</v>
      </c>
    </row>
    <row r="29" spans="1:18" ht="16.2">
      <c r="A29" s="12">
        <v>2045</v>
      </c>
      <c r="B29" s="2">
        <v>1</v>
      </c>
      <c r="C29" s="2">
        <v>1</v>
      </c>
      <c r="D29" s="2">
        <v>1</v>
      </c>
      <c r="E29" s="2">
        <v>1</v>
      </c>
      <c r="F29" s="2">
        <v>1</v>
      </c>
      <c r="G29" s="2">
        <v>1</v>
      </c>
      <c r="H29" s="2">
        <v>1</v>
      </c>
      <c r="I29" s="2">
        <v>1</v>
      </c>
      <c r="J29" s="2">
        <v>1</v>
      </c>
      <c r="K29" s="2">
        <v>1</v>
      </c>
      <c r="L29" s="2">
        <v>1</v>
      </c>
      <c r="M29" s="2">
        <v>1</v>
      </c>
      <c r="N29" s="2">
        <v>1</v>
      </c>
      <c r="O29" s="2">
        <v>1</v>
      </c>
      <c r="P29" s="2">
        <v>1</v>
      </c>
      <c r="Q29" s="2">
        <v>1</v>
      </c>
      <c r="R29" s="2">
        <v>1</v>
      </c>
    </row>
    <row r="30" spans="1:18" ht="16.2">
      <c r="A30" s="12">
        <v>2046</v>
      </c>
      <c r="B30" s="2">
        <v>1</v>
      </c>
      <c r="C30" s="2">
        <v>1</v>
      </c>
      <c r="D30" s="2">
        <v>1</v>
      </c>
      <c r="E30" s="2">
        <v>1</v>
      </c>
      <c r="F30" s="2">
        <v>1</v>
      </c>
      <c r="G30" s="2">
        <v>1</v>
      </c>
      <c r="H30" s="2">
        <v>1</v>
      </c>
      <c r="I30" s="2">
        <v>1</v>
      </c>
      <c r="J30" s="2">
        <v>1</v>
      </c>
      <c r="K30" s="2">
        <v>1</v>
      </c>
      <c r="L30" s="2">
        <v>1</v>
      </c>
      <c r="M30" s="2">
        <v>1</v>
      </c>
      <c r="N30" s="2">
        <v>1</v>
      </c>
      <c r="O30" s="2">
        <v>1</v>
      </c>
      <c r="P30" s="2">
        <v>1</v>
      </c>
      <c r="Q30" s="2">
        <v>1</v>
      </c>
      <c r="R30" s="2">
        <v>1</v>
      </c>
    </row>
    <row r="31" spans="1:18" ht="16.2">
      <c r="A31" s="12">
        <v>2047</v>
      </c>
      <c r="B31" s="2">
        <v>1</v>
      </c>
      <c r="C31" s="2">
        <v>1</v>
      </c>
      <c r="D31" s="2">
        <v>1</v>
      </c>
      <c r="E31" s="2">
        <v>1</v>
      </c>
      <c r="F31" s="2">
        <v>1</v>
      </c>
      <c r="G31" s="2">
        <v>1</v>
      </c>
      <c r="H31" s="2">
        <v>1</v>
      </c>
      <c r="I31" s="2">
        <v>1</v>
      </c>
      <c r="J31" s="2">
        <v>1</v>
      </c>
      <c r="K31" s="2">
        <v>1</v>
      </c>
      <c r="L31" s="2">
        <v>1</v>
      </c>
      <c r="M31" s="2">
        <v>1</v>
      </c>
      <c r="N31" s="2">
        <v>1</v>
      </c>
      <c r="O31" s="2">
        <v>1</v>
      </c>
      <c r="P31" s="2">
        <v>1</v>
      </c>
      <c r="Q31" s="2">
        <v>1</v>
      </c>
      <c r="R31" s="2">
        <v>1</v>
      </c>
    </row>
    <row r="32" spans="1:18" ht="16.2">
      <c r="A32" s="12">
        <v>2048</v>
      </c>
      <c r="B32" s="2">
        <v>1</v>
      </c>
      <c r="C32" s="2">
        <v>1</v>
      </c>
      <c r="D32" s="2">
        <v>1</v>
      </c>
      <c r="E32" s="2">
        <v>1</v>
      </c>
      <c r="F32" s="2">
        <v>1</v>
      </c>
      <c r="G32" s="2">
        <v>1</v>
      </c>
      <c r="H32" s="2">
        <v>1</v>
      </c>
      <c r="I32" s="2">
        <v>1</v>
      </c>
      <c r="J32" s="2">
        <v>1</v>
      </c>
      <c r="K32" s="2">
        <v>1</v>
      </c>
      <c r="L32" s="2">
        <v>1</v>
      </c>
      <c r="M32" s="2">
        <v>1</v>
      </c>
      <c r="N32" s="2">
        <v>1</v>
      </c>
      <c r="O32" s="2">
        <v>1</v>
      </c>
      <c r="P32" s="2">
        <v>1</v>
      </c>
      <c r="Q32" s="2">
        <v>1</v>
      </c>
      <c r="R32" s="2">
        <v>1</v>
      </c>
    </row>
    <row r="33" spans="1:18" ht="16.2">
      <c r="A33" s="12">
        <v>2049</v>
      </c>
      <c r="B33" s="2">
        <v>1</v>
      </c>
      <c r="C33" s="2">
        <v>1</v>
      </c>
      <c r="D33" s="2">
        <v>1</v>
      </c>
      <c r="E33" s="2">
        <v>1</v>
      </c>
      <c r="F33" s="2">
        <v>1</v>
      </c>
      <c r="G33" s="2">
        <v>1</v>
      </c>
      <c r="H33" s="2">
        <v>1</v>
      </c>
      <c r="I33" s="2">
        <v>1</v>
      </c>
      <c r="J33" s="2">
        <v>1</v>
      </c>
      <c r="K33" s="2">
        <v>1</v>
      </c>
      <c r="L33" s="2">
        <v>1</v>
      </c>
      <c r="M33" s="2">
        <v>1</v>
      </c>
      <c r="N33" s="2">
        <v>1</v>
      </c>
      <c r="O33" s="2">
        <v>1</v>
      </c>
      <c r="P33" s="2">
        <v>1</v>
      </c>
      <c r="Q33" s="2">
        <v>1</v>
      </c>
      <c r="R33" s="2">
        <v>1</v>
      </c>
    </row>
    <row r="34" spans="1:18" ht="16.2">
      <c r="A34" s="12">
        <v>2050</v>
      </c>
      <c r="B34" s="2">
        <v>1</v>
      </c>
      <c r="C34" s="2">
        <v>1</v>
      </c>
      <c r="D34" s="2">
        <v>1</v>
      </c>
      <c r="E34" s="2">
        <v>1</v>
      </c>
      <c r="F34" s="2">
        <v>1</v>
      </c>
      <c r="G34" s="2">
        <v>1</v>
      </c>
      <c r="H34" s="2">
        <v>1</v>
      </c>
      <c r="I34" s="2">
        <v>1</v>
      </c>
      <c r="J34" s="2">
        <v>1</v>
      </c>
      <c r="K34" s="2">
        <v>1</v>
      </c>
      <c r="L34" s="2">
        <v>1</v>
      </c>
      <c r="M34" s="2">
        <v>1</v>
      </c>
      <c r="N34" s="2">
        <v>1</v>
      </c>
      <c r="O34" s="2">
        <v>1</v>
      </c>
      <c r="P34" s="2">
        <v>1</v>
      </c>
      <c r="Q34" s="2">
        <v>1</v>
      </c>
      <c r="R34" s="2">
        <v>1</v>
      </c>
    </row>
    <row r="35" spans="1:18" ht="16.2">
      <c r="A35" s="12">
        <v>2051</v>
      </c>
      <c r="B35" s="2">
        <v>1</v>
      </c>
      <c r="C35" s="2">
        <v>1</v>
      </c>
      <c r="D35" s="2">
        <v>1</v>
      </c>
      <c r="E35" s="2">
        <v>1</v>
      </c>
      <c r="F35" s="2">
        <v>1</v>
      </c>
      <c r="G35" s="2">
        <v>1</v>
      </c>
      <c r="H35" s="2">
        <v>1</v>
      </c>
      <c r="I35" s="2">
        <v>1</v>
      </c>
      <c r="J35" s="2">
        <v>1</v>
      </c>
      <c r="K35" s="2">
        <v>1</v>
      </c>
      <c r="L35" s="2">
        <v>1</v>
      </c>
      <c r="M35" s="2">
        <v>1</v>
      </c>
      <c r="N35" s="2">
        <v>1</v>
      </c>
      <c r="O35" s="2">
        <v>1</v>
      </c>
      <c r="P35" s="2">
        <v>1</v>
      </c>
      <c r="Q35" s="2">
        <v>1</v>
      </c>
      <c r="R35" s="2">
        <v>1</v>
      </c>
    </row>
    <row r="36" spans="1:18" ht="16.2">
      <c r="A36" s="12">
        <v>2052</v>
      </c>
      <c r="B36" s="2">
        <v>1</v>
      </c>
      <c r="C36" s="2">
        <v>1</v>
      </c>
      <c r="D36" s="2">
        <v>1</v>
      </c>
      <c r="E36" s="2">
        <v>1</v>
      </c>
      <c r="F36" s="2">
        <v>1</v>
      </c>
      <c r="G36" s="2">
        <v>1</v>
      </c>
      <c r="H36" s="2">
        <v>1</v>
      </c>
      <c r="I36" s="2">
        <v>1</v>
      </c>
      <c r="J36" s="2">
        <v>1</v>
      </c>
      <c r="K36" s="2">
        <v>1</v>
      </c>
      <c r="L36" s="2">
        <v>1</v>
      </c>
      <c r="M36" s="2">
        <v>1</v>
      </c>
      <c r="N36" s="2">
        <v>1</v>
      </c>
      <c r="O36" s="2">
        <v>1</v>
      </c>
      <c r="P36" s="2">
        <v>1</v>
      </c>
      <c r="Q36" s="2">
        <v>1</v>
      </c>
      <c r="R36" s="2">
        <v>1</v>
      </c>
    </row>
    <row r="37" spans="1:18" ht="16.2">
      <c r="A37" s="12">
        <v>2053</v>
      </c>
      <c r="B37" s="2">
        <v>1</v>
      </c>
      <c r="C37" s="2">
        <v>1</v>
      </c>
      <c r="D37" s="2">
        <v>1</v>
      </c>
      <c r="E37" s="2">
        <v>1</v>
      </c>
      <c r="F37" s="2">
        <v>1</v>
      </c>
      <c r="G37" s="2">
        <v>1</v>
      </c>
      <c r="H37" s="2">
        <v>1</v>
      </c>
      <c r="I37" s="2">
        <v>1</v>
      </c>
      <c r="J37" s="2">
        <v>1</v>
      </c>
      <c r="K37" s="2">
        <v>1</v>
      </c>
      <c r="L37" s="2">
        <v>1</v>
      </c>
      <c r="M37" s="2">
        <v>1</v>
      </c>
      <c r="N37" s="2">
        <v>1</v>
      </c>
      <c r="O37" s="2">
        <v>1</v>
      </c>
      <c r="P37" s="2">
        <v>1</v>
      </c>
      <c r="Q37" s="2">
        <v>1</v>
      </c>
      <c r="R37" s="2">
        <v>1</v>
      </c>
    </row>
    <row r="38" spans="1:18" ht="16.2">
      <c r="A38" s="12">
        <v>2054</v>
      </c>
      <c r="B38" s="2">
        <v>1</v>
      </c>
      <c r="C38" s="2">
        <v>1</v>
      </c>
      <c r="D38" s="2">
        <v>1</v>
      </c>
      <c r="E38" s="2">
        <v>1</v>
      </c>
      <c r="F38" s="2">
        <v>1</v>
      </c>
      <c r="G38" s="2">
        <v>1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1</v>
      </c>
      <c r="N38" s="2">
        <v>1</v>
      </c>
      <c r="O38" s="2">
        <v>1</v>
      </c>
      <c r="P38" s="2">
        <v>1</v>
      </c>
      <c r="Q38" s="2">
        <v>1</v>
      </c>
      <c r="R38" s="2">
        <v>1</v>
      </c>
    </row>
    <row r="39" spans="1:18" ht="16.2">
      <c r="A39" s="12">
        <v>2055</v>
      </c>
      <c r="B39" s="2">
        <v>1</v>
      </c>
      <c r="C39" s="2">
        <v>1</v>
      </c>
      <c r="D39" s="2">
        <v>1</v>
      </c>
      <c r="E39" s="2">
        <v>1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2">
        <v>1</v>
      </c>
      <c r="N39" s="2">
        <v>1</v>
      </c>
      <c r="O39" s="2">
        <v>1</v>
      </c>
      <c r="P39" s="2">
        <v>1</v>
      </c>
      <c r="Q39" s="2">
        <v>1</v>
      </c>
      <c r="R39" s="2">
        <v>1</v>
      </c>
    </row>
    <row r="40" spans="1:18" ht="16.2">
      <c r="A40" s="12">
        <v>2056</v>
      </c>
      <c r="B40" s="2">
        <v>1</v>
      </c>
      <c r="C40" s="2">
        <v>1</v>
      </c>
      <c r="D40" s="2">
        <v>1</v>
      </c>
      <c r="E40" s="2">
        <v>1</v>
      </c>
      <c r="F40" s="2">
        <v>1</v>
      </c>
      <c r="G40" s="2">
        <v>1</v>
      </c>
      <c r="H40" s="2">
        <v>1</v>
      </c>
      <c r="I40" s="2">
        <v>1</v>
      </c>
      <c r="J40" s="2">
        <v>1</v>
      </c>
      <c r="K40" s="2">
        <v>1</v>
      </c>
      <c r="L40" s="2">
        <v>1</v>
      </c>
      <c r="M40" s="2">
        <v>1</v>
      </c>
      <c r="N40" s="2">
        <v>1</v>
      </c>
      <c r="O40" s="2">
        <v>1</v>
      </c>
      <c r="P40" s="2">
        <v>1</v>
      </c>
      <c r="Q40" s="2">
        <v>1</v>
      </c>
      <c r="R40" s="2">
        <v>1</v>
      </c>
    </row>
    <row r="41" spans="1:18" ht="16.2">
      <c r="A41" s="12">
        <v>2057</v>
      </c>
      <c r="B41" s="2">
        <v>1</v>
      </c>
      <c r="C41" s="2">
        <v>1</v>
      </c>
      <c r="D41" s="2">
        <v>1</v>
      </c>
      <c r="E41" s="2">
        <v>1</v>
      </c>
      <c r="F41" s="2">
        <v>1</v>
      </c>
      <c r="G41" s="2">
        <v>1</v>
      </c>
      <c r="H41" s="2">
        <v>1</v>
      </c>
      <c r="I41" s="2">
        <v>1</v>
      </c>
      <c r="J41" s="2">
        <v>1</v>
      </c>
      <c r="K41" s="2">
        <v>1</v>
      </c>
      <c r="L41" s="2">
        <v>1</v>
      </c>
      <c r="M41" s="2">
        <v>1</v>
      </c>
      <c r="N41" s="2">
        <v>1</v>
      </c>
      <c r="O41" s="2">
        <v>1</v>
      </c>
      <c r="P41" s="2">
        <v>1</v>
      </c>
      <c r="Q41" s="2">
        <v>1</v>
      </c>
      <c r="R41" s="2">
        <v>1</v>
      </c>
    </row>
    <row r="42" spans="1:18" ht="16.2">
      <c r="A42" s="12">
        <v>2058</v>
      </c>
      <c r="B42" s="2">
        <v>1</v>
      </c>
      <c r="C42" s="2">
        <v>1</v>
      </c>
      <c r="D42" s="2">
        <v>1</v>
      </c>
      <c r="E42" s="2">
        <v>1</v>
      </c>
      <c r="F42" s="2">
        <v>1</v>
      </c>
      <c r="G42" s="2">
        <v>1</v>
      </c>
      <c r="H42" s="2">
        <v>1</v>
      </c>
      <c r="I42" s="2">
        <v>1</v>
      </c>
      <c r="J42" s="2">
        <v>1</v>
      </c>
      <c r="K42" s="2">
        <v>1</v>
      </c>
      <c r="L42" s="2">
        <v>1</v>
      </c>
      <c r="M42" s="2">
        <v>1</v>
      </c>
      <c r="N42" s="2">
        <v>1</v>
      </c>
      <c r="O42" s="2">
        <v>1</v>
      </c>
      <c r="P42" s="2">
        <v>1</v>
      </c>
      <c r="Q42" s="2">
        <v>1</v>
      </c>
      <c r="R42" s="2">
        <v>1</v>
      </c>
    </row>
    <row r="43" spans="1:18" ht="16.2">
      <c r="A43" s="12">
        <v>2059</v>
      </c>
      <c r="B43" s="2">
        <v>1</v>
      </c>
      <c r="C43" s="2">
        <v>1</v>
      </c>
      <c r="D43" s="2">
        <v>1</v>
      </c>
      <c r="E43" s="2">
        <v>1</v>
      </c>
      <c r="F43" s="2">
        <v>1</v>
      </c>
      <c r="G43" s="2">
        <v>1</v>
      </c>
      <c r="H43" s="2">
        <v>1</v>
      </c>
      <c r="I43" s="2">
        <v>1</v>
      </c>
      <c r="J43" s="2">
        <v>1</v>
      </c>
      <c r="K43" s="2">
        <v>1</v>
      </c>
      <c r="L43" s="2">
        <v>1</v>
      </c>
      <c r="M43" s="2">
        <v>1</v>
      </c>
      <c r="N43" s="2">
        <v>1</v>
      </c>
      <c r="O43" s="2">
        <v>1</v>
      </c>
      <c r="P43" s="2">
        <v>1</v>
      </c>
      <c r="Q43" s="2">
        <v>1</v>
      </c>
      <c r="R43" s="2">
        <v>1</v>
      </c>
    </row>
    <row r="44" spans="1:18" ht="16.2">
      <c r="A44" s="12">
        <v>2060</v>
      </c>
      <c r="B44" s="2">
        <v>1</v>
      </c>
      <c r="C44" s="2">
        <v>1</v>
      </c>
      <c r="D44" s="2">
        <v>1</v>
      </c>
      <c r="E44" s="2">
        <v>1</v>
      </c>
      <c r="F44" s="2">
        <v>1</v>
      </c>
      <c r="G44" s="2">
        <v>1</v>
      </c>
      <c r="H44" s="2">
        <v>1</v>
      </c>
      <c r="I44" s="2">
        <v>1</v>
      </c>
      <c r="J44" s="2">
        <v>1</v>
      </c>
      <c r="K44" s="2">
        <v>1</v>
      </c>
      <c r="L44" s="2">
        <v>1</v>
      </c>
      <c r="M44" s="2">
        <v>1</v>
      </c>
      <c r="N44" s="2">
        <v>1</v>
      </c>
      <c r="O44" s="2">
        <v>1</v>
      </c>
      <c r="P44" s="2">
        <v>1</v>
      </c>
      <c r="Q44" s="2">
        <v>1</v>
      </c>
      <c r="R44" s="2">
        <v>1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44"/>
  <sheetViews>
    <sheetView zoomScale="70" zoomScaleNormal="70" workbookViewId="0">
      <selection activeCell="O27" sqref="O27"/>
    </sheetView>
  </sheetViews>
  <sheetFormatPr defaultRowHeight="15.6"/>
  <cols>
    <col min="4" max="4" width="13" style="2" hidden="1" customWidth="1"/>
    <col min="6" max="6" width="8.7265625" style="2" customWidth="1"/>
    <col min="10" max="11" width="8.7265625" style="2" customWidth="1"/>
    <col min="16" max="17" width="13" style="2" hidden="1" customWidth="1"/>
  </cols>
  <sheetData>
    <row r="1" spans="1:24">
      <c r="A1">
        <v>0</v>
      </c>
      <c r="B1" t="s">
        <v>31</v>
      </c>
      <c r="C1" t="s">
        <v>32</v>
      </c>
      <c r="D1" t="s">
        <v>33</v>
      </c>
      <c r="E1" t="s">
        <v>34</v>
      </c>
      <c r="F1" t="s">
        <v>36</v>
      </c>
      <c r="G1" t="s">
        <v>37</v>
      </c>
      <c r="H1" t="s">
        <v>38</v>
      </c>
      <c r="I1" t="s">
        <v>41</v>
      </c>
      <c r="J1" t="s">
        <v>42</v>
      </c>
      <c r="K1" t="s">
        <v>40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  <c r="V1" t="s">
        <v>95</v>
      </c>
      <c r="W1" s="15" t="s">
        <v>96</v>
      </c>
    </row>
    <row r="2" spans="1:24">
      <c r="A2">
        <v>2018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V2">
        <v>0</v>
      </c>
      <c r="W2">
        <v>0</v>
      </c>
    </row>
    <row r="3" spans="1:24">
      <c r="A3">
        <v>2019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V3">
        <v>0</v>
      </c>
      <c r="W3">
        <v>0</v>
      </c>
    </row>
    <row r="4" spans="1:24">
      <c r="A4">
        <v>2020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V4">
        <v>0</v>
      </c>
      <c r="W4">
        <v>0</v>
      </c>
    </row>
    <row r="5" spans="1:24">
      <c r="A5">
        <v>2021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V5">
        <v>0</v>
      </c>
      <c r="W5">
        <v>0</v>
      </c>
    </row>
    <row r="6" spans="1:24">
      <c r="A6">
        <v>2022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V6">
        <v>0</v>
      </c>
      <c r="W6">
        <v>0</v>
      </c>
    </row>
    <row r="7" spans="1:24">
      <c r="A7">
        <v>2023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V7">
        <v>0</v>
      </c>
      <c r="W7">
        <v>0</v>
      </c>
    </row>
    <row r="8" spans="1:24">
      <c r="A8">
        <v>2024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V8">
        <v>0</v>
      </c>
      <c r="W8">
        <v>0</v>
      </c>
    </row>
    <row r="9" spans="1:24" s="8" customFormat="1">
      <c r="A9" s="8">
        <v>2025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V9" s="8">
        <v>100</v>
      </c>
      <c r="W9" s="8">
        <v>80</v>
      </c>
      <c r="X9" s="8">
        <v>100</v>
      </c>
    </row>
    <row r="10" spans="1:24">
      <c r="A10">
        <v>2026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V10">
        <v>120</v>
      </c>
      <c r="W10" s="8">
        <v>84</v>
      </c>
    </row>
    <row r="11" spans="1:24">
      <c r="A11">
        <v>2027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V11">
        <v>140</v>
      </c>
      <c r="W11" s="8">
        <v>88</v>
      </c>
    </row>
    <row r="12" spans="1:24">
      <c r="A12">
        <v>2028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V12">
        <v>160</v>
      </c>
      <c r="W12" s="8">
        <v>92</v>
      </c>
    </row>
    <row r="13" spans="1:24">
      <c r="A13">
        <v>2029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V13">
        <v>180</v>
      </c>
      <c r="W13" s="8">
        <v>96</v>
      </c>
    </row>
    <row r="14" spans="1:24" s="8" customFormat="1">
      <c r="A14" s="8">
        <v>2030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V14" s="8">
        <v>200</v>
      </c>
      <c r="W14" s="8">
        <v>100</v>
      </c>
      <c r="X14" s="8">
        <v>200</v>
      </c>
    </row>
    <row r="15" spans="1:24">
      <c r="A15">
        <v>2031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V15">
        <v>220</v>
      </c>
      <c r="W15" s="8">
        <v>115</v>
      </c>
    </row>
    <row r="16" spans="1:24">
      <c r="A16">
        <v>2032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V16">
        <v>240</v>
      </c>
      <c r="W16" s="8">
        <v>130</v>
      </c>
    </row>
    <row r="17" spans="1:24">
      <c r="A17">
        <v>2033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V17">
        <v>260</v>
      </c>
      <c r="W17" s="8">
        <v>145</v>
      </c>
    </row>
    <row r="18" spans="1:24">
      <c r="A18">
        <v>2034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V18">
        <v>280</v>
      </c>
      <c r="W18" s="8">
        <v>160</v>
      </c>
    </row>
    <row r="19" spans="1:24" s="8" customFormat="1">
      <c r="A19" s="8">
        <v>2035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V19" s="8">
        <v>300</v>
      </c>
      <c r="W19" s="8">
        <v>175</v>
      </c>
    </row>
    <row r="20" spans="1:24">
      <c r="A20">
        <v>2036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V20">
        <v>320</v>
      </c>
      <c r="W20" s="8">
        <v>190</v>
      </c>
    </row>
    <row r="21" spans="1:24">
      <c r="A21">
        <v>2037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V21">
        <v>340</v>
      </c>
      <c r="W21" s="8">
        <v>205</v>
      </c>
    </row>
    <row r="22" spans="1:24">
      <c r="A22">
        <v>2038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V22">
        <v>360</v>
      </c>
      <c r="W22" s="8">
        <v>220</v>
      </c>
    </row>
    <row r="23" spans="1:24">
      <c r="A23">
        <v>2039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V23">
        <v>380</v>
      </c>
      <c r="W23" s="8">
        <v>235</v>
      </c>
    </row>
    <row r="24" spans="1:24" s="8" customFormat="1">
      <c r="A24" s="8">
        <v>2040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V24" s="8">
        <v>400</v>
      </c>
      <c r="W24" s="8">
        <v>250</v>
      </c>
      <c r="X24" s="8">
        <v>600</v>
      </c>
    </row>
    <row r="25" spans="1:24">
      <c r="A25">
        <v>2041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V25">
        <v>440</v>
      </c>
      <c r="W25" s="8">
        <v>290</v>
      </c>
    </row>
    <row r="26" spans="1:24">
      <c r="A26">
        <v>2042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V26">
        <v>480</v>
      </c>
      <c r="W26" s="8">
        <v>330</v>
      </c>
    </row>
    <row r="27" spans="1:24">
      <c r="A27">
        <v>2043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V27">
        <v>520</v>
      </c>
      <c r="W27" s="8">
        <v>370</v>
      </c>
    </row>
    <row r="28" spans="1:24">
      <c r="A28">
        <v>2044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V28">
        <v>560</v>
      </c>
      <c r="W28" s="8">
        <v>410</v>
      </c>
    </row>
    <row r="29" spans="1:24" s="8" customFormat="1">
      <c r="A29" s="8">
        <v>2045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V29" s="8">
        <v>600</v>
      </c>
      <c r="W29" s="8">
        <v>450</v>
      </c>
      <c r="X29" s="8">
        <v>1000</v>
      </c>
    </row>
    <row r="30" spans="1:24">
      <c r="A30">
        <v>2046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V30">
        <v>640</v>
      </c>
      <c r="W30" s="8">
        <v>490</v>
      </c>
    </row>
    <row r="31" spans="1:24">
      <c r="A31">
        <v>2047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V31">
        <v>680</v>
      </c>
      <c r="W31" s="8">
        <v>530</v>
      </c>
    </row>
    <row r="32" spans="1:24">
      <c r="A32">
        <v>2048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V32">
        <v>720</v>
      </c>
      <c r="W32" s="8">
        <v>570</v>
      </c>
    </row>
    <row r="33" spans="1:23">
      <c r="A33">
        <v>2049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V33">
        <v>760</v>
      </c>
      <c r="W33" s="8">
        <v>610</v>
      </c>
    </row>
    <row r="34" spans="1:23">
      <c r="A34">
        <v>2050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V34">
        <v>800</v>
      </c>
      <c r="W34" s="8">
        <v>650</v>
      </c>
    </row>
    <row r="35" spans="1:23">
      <c r="A35">
        <v>2051</v>
      </c>
      <c r="D35"/>
      <c r="F35"/>
      <c r="J35"/>
      <c r="K35"/>
      <c r="P35"/>
      <c r="Q35"/>
    </row>
    <row r="36" spans="1:23">
      <c r="A36">
        <v>2052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23">
      <c r="A37">
        <v>2053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23">
      <c r="A38">
        <v>2054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23">
      <c r="A39">
        <v>2055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23">
      <c r="A40">
        <v>2056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23">
      <c r="A41">
        <v>2057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23">
      <c r="A42">
        <v>2058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23">
      <c r="A43">
        <v>2059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23">
      <c r="A44">
        <v>2060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44"/>
  <sheetViews>
    <sheetView zoomScale="55" zoomScaleNormal="55" workbookViewId="0">
      <selection activeCell="AO16" sqref="AO16"/>
    </sheetView>
  </sheetViews>
  <sheetFormatPr defaultRowHeight="15.6"/>
  <sheetData>
    <row r="1" spans="1:3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4">
      <c r="A2">
        <v>2018</v>
      </c>
      <c r="B2" s="3">
        <v>0.3</v>
      </c>
      <c r="C2" s="3">
        <v>0.3</v>
      </c>
      <c r="D2" s="3">
        <v>0.3</v>
      </c>
      <c r="E2" s="3">
        <v>0.3</v>
      </c>
      <c r="F2" s="3">
        <v>0.3</v>
      </c>
      <c r="G2" s="3">
        <v>0.3</v>
      </c>
      <c r="H2" s="3">
        <v>0.3</v>
      </c>
      <c r="I2" s="3">
        <v>0.3</v>
      </c>
      <c r="J2" s="3">
        <v>0.3</v>
      </c>
      <c r="K2" s="3">
        <v>0.3</v>
      </c>
      <c r="L2" s="3">
        <v>0.3</v>
      </c>
      <c r="M2" s="3">
        <v>0.3</v>
      </c>
      <c r="N2" s="3">
        <v>0.3</v>
      </c>
      <c r="O2" s="3">
        <v>0.3</v>
      </c>
      <c r="P2" s="3">
        <v>0.3</v>
      </c>
      <c r="Q2" s="3">
        <v>0.3</v>
      </c>
      <c r="R2" s="3">
        <v>0.3</v>
      </c>
      <c r="S2" s="3">
        <v>0.3</v>
      </c>
      <c r="T2" s="3">
        <v>0.3</v>
      </c>
      <c r="U2" s="3">
        <v>0.3</v>
      </c>
      <c r="V2" s="3">
        <v>0.3</v>
      </c>
      <c r="W2" s="3">
        <v>0.3</v>
      </c>
      <c r="X2" s="3">
        <v>0.3</v>
      </c>
      <c r="Y2" s="3">
        <v>0.3</v>
      </c>
      <c r="Z2" s="3">
        <v>0.3</v>
      </c>
      <c r="AA2" s="3">
        <v>0.3</v>
      </c>
      <c r="AB2" s="3">
        <v>0.3</v>
      </c>
      <c r="AC2" s="3">
        <v>0.3</v>
      </c>
      <c r="AD2" s="3">
        <v>0.3</v>
      </c>
      <c r="AE2" s="3">
        <v>0.3</v>
      </c>
      <c r="AF2" s="3">
        <v>0.3</v>
      </c>
      <c r="AG2" s="3"/>
      <c r="AH2" t="s">
        <v>92</v>
      </c>
    </row>
    <row r="3" spans="1:34">
      <c r="A3">
        <v>2019</v>
      </c>
      <c r="B3" s="3">
        <v>0.3</v>
      </c>
      <c r="C3" s="3">
        <v>0.3</v>
      </c>
      <c r="D3" s="3">
        <v>0.3</v>
      </c>
      <c r="E3" s="3">
        <v>0.3</v>
      </c>
      <c r="F3" s="3">
        <v>0.3</v>
      </c>
      <c r="G3" s="3">
        <v>0.3</v>
      </c>
      <c r="H3" s="3">
        <v>0.3</v>
      </c>
      <c r="I3" s="3">
        <v>0.3</v>
      </c>
      <c r="J3" s="3">
        <v>0.3</v>
      </c>
      <c r="K3" s="3">
        <v>0.3</v>
      </c>
      <c r="L3" s="3">
        <v>0.3</v>
      </c>
      <c r="M3" s="3">
        <v>0.3</v>
      </c>
      <c r="N3" s="3">
        <v>0.3</v>
      </c>
      <c r="O3" s="3">
        <v>0.3</v>
      </c>
      <c r="P3" s="3">
        <v>0.3</v>
      </c>
      <c r="Q3" s="3">
        <v>0.3</v>
      </c>
      <c r="R3" s="3">
        <v>0.3</v>
      </c>
      <c r="S3" s="3">
        <v>0.3</v>
      </c>
      <c r="T3" s="3">
        <v>0.3</v>
      </c>
      <c r="U3" s="3">
        <v>0.3</v>
      </c>
      <c r="V3" s="3">
        <v>0.3</v>
      </c>
      <c r="W3" s="3">
        <v>0.3</v>
      </c>
      <c r="X3" s="3">
        <v>0.3</v>
      </c>
      <c r="Y3" s="3">
        <v>0.3</v>
      </c>
      <c r="Z3" s="3">
        <v>0.3</v>
      </c>
      <c r="AA3" s="3">
        <v>0.3</v>
      </c>
      <c r="AB3" s="3">
        <v>0.3</v>
      </c>
      <c r="AC3" s="3">
        <v>0.3</v>
      </c>
      <c r="AD3" s="3">
        <v>0.3</v>
      </c>
      <c r="AE3" s="3">
        <v>0.3</v>
      </c>
      <c r="AF3" s="3">
        <v>0.3</v>
      </c>
    </row>
    <row r="4" spans="1:34">
      <c r="A4">
        <v>2020</v>
      </c>
      <c r="B4" s="3">
        <v>0.3</v>
      </c>
      <c r="C4" s="3">
        <v>0.3</v>
      </c>
      <c r="D4" s="3">
        <v>0.3</v>
      </c>
      <c r="E4" s="3">
        <v>0.3</v>
      </c>
      <c r="F4" s="3">
        <v>0.3</v>
      </c>
      <c r="G4" s="3">
        <v>0.3</v>
      </c>
      <c r="H4" s="3">
        <v>0.3</v>
      </c>
      <c r="I4" s="3">
        <v>0.3</v>
      </c>
      <c r="J4" s="3">
        <v>0.3</v>
      </c>
      <c r="K4" s="3">
        <v>0.3</v>
      </c>
      <c r="L4" s="3">
        <v>0.3</v>
      </c>
      <c r="M4" s="3">
        <v>0.3</v>
      </c>
      <c r="N4" s="3">
        <v>0.3</v>
      </c>
      <c r="O4" s="3">
        <v>0.3</v>
      </c>
      <c r="P4" s="3">
        <v>0.3</v>
      </c>
      <c r="Q4" s="3">
        <v>0.3</v>
      </c>
      <c r="R4" s="3">
        <v>0.3</v>
      </c>
      <c r="S4" s="3">
        <v>0.3</v>
      </c>
      <c r="T4" s="3">
        <v>0.3</v>
      </c>
      <c r="U4" s="3">
        <v>0.3</v>
      </c>
      <c r="V4" s="3">
        <v>0.3</v>
      </c>
      <c r="W4" s="3">
        <v>0.3</v>
      </c>
      <c r="X4" s="3">
        <v>0.3</v>
      </c>
      <c r="Y4" s="3">
        <v>0.3</v>
      </c>
      <c r="Z4" s="3">
        <v>0.3</v>
      </c>
      <c r="AA4" s="3">
        <v>0.3</v>
      </c>
      <c r="AB4" s="3">
        <v>0.3</v>
      </c>
      <c r="AC4" s="3">
        <v>0.3</v>
      </c>
      <c r="AD4" s="3">
        <v>0.3</v>
      </c>
      <c r="AE4" s="3">
        <v>0.3</v>
      </c>
      <c r="AF4" s="3">
        <v>0.3</v>
      </c>
    </row>
    <row r="5" spans="1:34">
      <c r="A5">
        <v>2021</v>
      </c>
      <c r="B5" s="3">
        <v>0.3</v>
      </c>
      <c r="C5" s="3">
        <v>0.3</v>
      </c>
      <c r="D5" s="3">
        <v>0.3</v>
      </c>
      <c r="E5" s="3">
        <v>0.3</v>
      </c>
      <c r="F5" s="3">
        <v>0.3</v>
      </c>
      <c r="G5" s="3">
        <v>0.3</v>
      </c>
      <c r="H5" s="3">
        <v>0.3</v>
      </c>
      <c r="I5" s="3">
        <v>0.3</v>
      </c>
      <c r="J5" s="3">
        <v>0.3</v>
      </c>
      <c r="K5" s="3">
        <v>0.3</v>
      </c>
      <c r="L5" s="3">
        <v>0.3</v>
      </c>
      <c r="M5" s="3">
        <v>0.3</v>
      </c>
      <c r="N5" s="3">
        <v>0.3</v>
      </c>
      <c r="O5" s="3">
        <v>0.3</v>
      </c>
      <c r="P5" s="3">
        <v>0.3</v>
      </c>
      <c r="Q5" s="3">
        <v>0.3</v>
      </c>
      <c r="R5" s="3">
        <v>0.3</v>
      </c>
      <c r="S5" s="3">
        <v>0.3</v>
      </c>
      <c r="T5" s="3">
        <v>0.3</v>
      </c>
      <c r="U5" s="3">
        <v>0.3</v>
      </c>
      <c r="V5" s="3">
        <v>0.3</v>
      </c>
      <c r="W5" s="3">
        <v>0.3</v>
      </c>
      <c r="X5" s="3">
        <v>0.3</v>
      </c>
      <c r="Y5" s="3">
        <v>0.3</v>
      </c>
      <c r="Z5" s="3">
        <v>0.3</v>
      </c>
      <c r="AA5" s="3">
        <v>0.3</v>
      </c>
      <c r="AB5" s="3">
        <v>0.3</v>
      </c>
      <c r="AC5" s="3">
        <v>0.3</v>
      </c>
      <c r="AD5" s="3">
        <v>0.3</v>
      </c>
      <c r="AE5" s="3">
        <v>0.3</v>
      </c>
      <c r="AF5" s="3">
        <v>0.3</v>
      </c>
    </row>
    <row r="6" spans="1:34">
      <c r="A6">
        <v>2022</v>
      </c>
      <c r="B6" s="3">
        <v>0.3</v>
      </c>
      <c r="C6" s="3">
        <v>0.3</v>
      </c>
      <c r="D6" s="3">
        <v>0.3</v>
      </c>
      <c r="E6" s="3">
        <v>0.3</v>
      </c>
      <c r="F6" s="3">
        <v>0.3</v>
      </c>
      <c r="G6" s="3">
        <v>0.3</v>
      </c>
      <c r="H6" s="3">
        <v>0.3</v>
      </c>
      <c r="I6" s="3">
        <v>0.3</v>
      </c>
      <c r="J6" s="3">
        <v>0.3</v>
      </c>
      <c r="K6" s="3">
        <v>0.3</v>
      </c>
      <c r="L6" s="3">
        <v>0.3</v>
      </c>
      <c r="M6" s="3">
        <v>0.3</v>
      </c>
      <c r="N6" s="3">
        <v>0.3</v>
      </c>
      <c r="O6" s="3">
        <v>0.3</v>
      </c>
      <c r="P6" s="3">
        <v>0.3</v>
      </c>
      <c r="Q6" s="3">
        <v>0.3</v>
      </c>
      <c r="R6" s="3">
        <v>0.3</v>
      </c>
      <c r="S6" s="3">
        <v>0.3</v>
      </c>
      <c r="T6" s="3">
        <v>0.3</v>
      </c>
      <c r="U6" s="3">
        <v>0.3</v>
      </c>
      <c r="V6" s="3">
        <v>0.3</v>
      </c>
      <c r="W6" s="3">
        <v>0.3</v>
      </c>
      <c r="X6" s="3">
        <v>0.3</v>
      </c>
      <c r="Y6" s="3">
        <v>0.3</v>
      </c>
      <c r="Z6" s="3">
        <v>0.3</v>
      </c>
      <c r="AA6" s="3">
        <v>0.3</v>
      </c>
      <c r="AB6" s="3">
        <v>0.3</v>
      </c>
      <c r="AC6" s="3">
        <v>0.3</v>
      </c>
      <c r="AD6" s="3">
        <v>0.3</v>
      </c>
      <c r="AE6" s="3">
        <v>0.3</v>
      </c>
      <c r="AF6" s="3">
        <v>0.3</v>
      </c>
    </row>
    <row r="7" spans="1:34">
      <c r="A7">
        <v>2023</v>
      </c>
      <c r="B7" s="3">
        <v>0.3</v>
      </c>
      <c r="C7" s="3">
        <v>0.3</v>
      </c>
      <c r="D7" s="3">
        <v>0.3</v>
      </c>
      <c r="E7" s="3">
        <v>0.3</v>
      </c>
      <c r="F7" s="3">
        <v>0.3</v>
      </c>
      <c r="G7" s="3">
        <v>0.3</v>
      </c>
      <c r="H7" s="3">
        <v>0.3</v>
      </c>
      <c r="I7" s="3">
        <v>0.3</v>
      </c>
      <c r="J7" s="3">
        <v>0.3</v>
      </c>
      <c r="K7" s="3">
        <v>0.3</v>
      </c>
      <c r="L7" s="3">
        <v>0.3</v>
      </c>
      <c r="M7" s="3">
        <v>0.3</v>
      </c>
      <c r="N7" s="3">
        <v>0.3</v>
      </c>
      <c r="O7" s="3">
        <v>0.3</v>
      </c>
      <c r="P7" s="3">
        <v>0.3</v>
      </c>
      <c r="Q7" s="3">
        <v>0.3</v>
      </c>
      <c r="R7" s="3">
        <v>0.3</v>
      </c>
      <c r="S7" s="3">
        <v>0.3</v>
      </c>
      <c r="T7" s="3">
        <v>0.3</v>
      </c>
      <c r="U7" s="3">
        <v>0.3</v>
      </c>
      <c r="V7" s="3">
        <v>0.3</v>
      </c>
      <c r="W7" s="3">
        <v>0.3</v>
      </c>
      <c r="X7" s="3">
        <v>0.3</v>
      </c>
      <c r="Y7" s="3">
        <v>0.3</v>
      </c>
      <c r="Z7" s="3">
        <v>0.3</v>
      </c>
      <c r="AA7" s="3">
        <v>0.3</v>
      </c>
      <c r="AB7" s="3">
        <v>0.3</v>
      </c>
      <c r="AC7" s="3">
        <v>0.3</v>
      </c>
      <c r="AD7" s="3">
        <v>0.3</v>
      </c>
      <c r="AE7" s="3">
        <v>0.3</v>
      </c>
      <c r="AF7" s="3">
        <v>0.3</v>
      </c>
    </row>
    <row r="8" spans="1:34">
      <c r="A8">
        <v>2024</v>
      </c>
      <c r="B8" s="3">
        <v>0.3</v>
      </c>
      <c r="C8" s="3">
        <v>0.3</v>
      </c>
      <c r="D8" s="3">
        <v>0.3</v>
      </c>
      <c r="E8" s="3">
        <v>0.3</v>
      </c>
      <c r="F8" s="3">
        <v>0.3</v>
      </c>
      <c r="G8" s="3">
        <v>0.3</v>
      </c>
      <c r="H8" s="3">
        <v>0.3</v>
      </c>
      <c r="I8" s="3">
        <v>0.3</v>
      </c>
      <c r="J8" s="3">
        <v>0.3</v>
      </c>
      <c r="K8" s="3">
        <v>0.3</v>
      </c>
      <c r="L8" s="3">
        <v>0.3</v>
      </c>
      <c r="M8" s="3">
        <v>0.3</v>
      </c>
      <c r="N8" s="3">
        <v>0.3</v>
      </c>
      <c r="O8" s="3">
        <v>0.3</v>
      </c>
      <c r="P8" s="3">
        <v>0.3</v>
      </c>
      <c r="Q8" s="3">
        <v>0.3</v>
      </c>
      <c r="R8" s="3">
        <v>0.3</v>
      </c>
      <c r="S8" s="3">
        <v>0.3</v>
      </c>
      <c r="T8" s="3">
        <v>0.3</v>
      </c>
      <c r="U8" s="3">
        <v>0.3</v>
      </c>
      <c r="V8" s="3">
        <v>0.3</v>
      </c>
      <c r="W8" s="3">
        <v>0.3</v>
      </c>
      <c r="X8" s="3">
        <v>0.3</v>
      </c>
      <c r="Y8" s="3">
        <v>0.3</v>
      </c>
      <c r="Z8" s="3">
        <v>0.3</v>
      </c>
      <c r="AA8" s="3">
        <v>0.3</v>
      </c>
      <c r="AB8" s="3">
        <v>0.3</v>
      </c>
      <c r="AC8" s="3">
        <v>0.3</v>
      </c>
      <c r="AD8" s="3">
        <v>0.3</v>
      </c>
      <c r="AE8" s="3">
        <v>0.3</v>
      </c>
      <c r="AF8" s="3">
        <v>0.3</v>
      </c>
    </row>
    <row r="9" spans="1:34">
      <c r="A9">
        <v>2025</v>
      </c>
      <c r="B9" s="3">
        <v>0.3</v>
      </c>
      <c r="C9" s="3">
        <v>0.3</v>
      </c>
      <c r="D9" s="3">
        <v>0.3</v>
      </c>
      <c r="E9" s="3">
        <v>0.3</v>
      </c>
      <c r="F9" s="3">
        <v>0.3</v>
      </c>
      <c r="G9" s="3">
        <v>0.3</v>
      </c>
      <c r="H9" s="3">
        <v>0.3</v>
      </c>
      <c r="I9" s="3">
        <v>0.3</v>
      </c>
      <c r="J9" s="3">
        <v>0.3</v>
      </c>
      <c r="K9" s="3">
        <v>0.3</v>
      </c>
      <c r="L9" s="3">
        <v>0.3</v>
      </c>
      <c r="M9" s="3">
        <v>0.3</v>
      </c>
      <c r="N9" s="3">
        <v>0.3</v>
      </c>
      <c r="O9" s="3">
        <v>0.3</v>
      </c>
      <c r="P9" s="3">
        <v>0.3</v>
      </c>
      <c r="Q9" s="3">
        <v>0.3</v>
      </c>
      <c r="R9" s="3">
        <v>0.3</v>
      </c>
      <c r="S9" s="3">
        <v>0.3</v>
      </c>
      <c r="T9" s="3">
        <v>0.3</v>
      </c>
      <c r="U9" s="3">
        <v>0.3</v>
      </c>
      <c r="V9" s="3">
        <v>0.3</v>
      </c>
      <c r="W9" s="3">
        <v>0.3</v>
      </c>
      <c r="X9" s="3">
        <v>0.3</v>
      </c>
      <c r="Y9" s="3">
        <v>0.3</v>
      </c>
      <c r="Z9" s="3">
        <v>0.3</v>
      </c>
      <c r="AA9" s="3">
        <v>0.3</v>
      </c>
      <c r="AB9" s="3">
        <v>0.3</v>
      </c>
      <c r="AC9" s="3">
        <v>0.3</v>
      </c>
      <c r="AD9" s="3">
        <v>0.3</v>
      </c>
      <c r="AE9" s="3">
        <v>0.3</v>
      </c>
      <c r="AF9" s="3">
        <v>0.3</v>
      </c>
    </row>
    <row r="10" spans="1:34">
      <c r="A10">
        <v>2026</v>
      </c>
      <c r="B10" s="3">
        <v>0.3</v>
      </c>
      <c r="C10" s="3">
        <v>0.3</v>
      </c>
      <c r="D10" s="3">
        <v>0.3</v>
      </c>
      <c r="E10" s="3">
        <v>0.3</v>
      </c>
      <c r="F10" s="3">
        <v>0.3</v>
      </c>
      <c r="G10" s="3">
        <v>0.3</v>
      </c>
      <c r="H10" s="3">
        <v>0.3</v>
      </c>
      <c r="I10" s="3">
        <v>0.3</v>
      </c>
      <c r="J10" s="3">
        <v>0.3</v>
      </c>
      <c r="K10" s="3">
        <v>0.3</v>
      </c>
      <c r="L10" s="3">
        <v>0.3</v>
      </c>
      <c r="M10" s="3">
        <v>0.3</v>
      </c>
      <c r="N10" s="3">
        <v>0.3</v>
      </c>
      <c r="O10" s="3">
        <v>0.3</v>
      </c>
      <c r="P10" s="3">
        <v>0.3</v>
      </c>
      <c r="Q10" s="3">
        <v>0.3</v>
      </c>
      <c r="R10" s="3">
        <v>0.3</v>
      </c>
      <c r="S10" s="3">
        <v>0.3</v>
      </c>
      <c r="T10" s="3">
        <v>0.3</v>
      </c>
      <c r="U10" s="3">
        <v>0.3</v>
      </c>
      <c r="V10" s="3">
        <v>0.3</v>
      </c>
      <c r="W10" s="3">
        <v>0.3</v>
      </c>
      <c r="X10" s="3">
        <v>0.3</v>
      </c>
      <c r="Y10" s="3">
        <v>0.3</v>
      </c>
      <c r="Z10" s="3">
        <v>0.3</v>
      </c>
      <c r="AA10" s="3">
        <v>0.3</v>
      </c>
      <c r="AB10" s="3">
        <v>0.3</v>
      </c>
      <c r="AC10" s="3">
        <v>0.3</v>
      </c>
      <c r="AD10" s="3">
        <v>0.3</v>
      </c>
      <c r="AE10" s="3">
        <v>0.3</v>
      </c>
      <c r="AF10" s="3">
        <v>0.3</v>
      </c>
    </row>
    <row r="11" spans="1:34">
      <c r="A11">
        <v>2027</v>
      </c>
      <c r="B11" s="3">
        <v>0.3</v>
      </c>
      <c r="C11" s="3">
        <v>0.3</v>
      </c>
      <c r="D11" s="3">
        <v>0.3</v>
      </c>
      <c r="E11" s="3">
        <v>0.3</v>
      </c>
      <c r="F11" s="3">
        <v>0.3</v>
      </c>
      <c r="G11" s="3">
        <v>0.3</v>
      </c>
      <c r="H11" s="3">
        <v>0.3</v>
      </c>
      <c r="I11" s="3">
        <v>0.3</v>
      </c>
      <c r="J11" s="3">
        <v>0.3</v>
      </c>
      <c r="K11" s="3">
        <v>0.3</v>
      </c>
      <c r="L11" s="3">
        <v>0.3</v>
      </c>
      <c r="M11" s="3">
        <v>0.3</v>
      </c>
      <c r="N11" s="3">
        <v>0.3</v>
      </c>
      <c r="O11" s="3">
        <v>0.3</v>
      </c>
      <c r="P11" s="3">
        <v>0.3</v>
      </c>
      <c r="Q11" s="3">
        <v>0.3</v>
      </c>
      <c r="R11" s="3">
        <v>0.3</v>
      </c>
      <c r="S11" s="3">
        <v>0.3</v>
      </c>
      <c r="T11" s="3">
        <v>0.3</v>
      </c>
      <c r="U11" s="3">
        <v>0.3</v>
      </c>
      <c r="V11" s="3">
        <v>0.3</v>
      </c>
      <c r="W11" s="3">
        <v>0.3</v>
      </c>
      <c r="X11" s="3">
        <v>0.3</v>
      </c>
      <c r="Y11" s="3">
        <v>0.3</v>
      </c>
      <c r="Z11" s="3">
        <v>0.3</v>
      </c>
      <c r="AA11" s="3">
        <v>0.3</v>
      </c>
      <c r="AB11" s="3">
        <v>0.3</v>
      </c>
      <c r="AC11" s="3">
        <v>0.3</v>
      </c>
      <c r="AD11" s="3">
        <v>0.3</v>
      </c>
      <c r="AE11" s="3">
        <v>0.3</v>
      </c>
      <c r="AF11" s="3">
        <v>0.3</v>
      </c>
    </row>
    <row r="12" spans="1:34">
      <c r="A12">
        <v>2028</v>
      </c>
      <c r="B12" s="3">
        <v>0.3</v>
      </c>
      <c r="C12" s="3">
        <v>0.3</v>
      </c>
      <c r="D12" s="3">
        <v>0.3</v>
      </c>
      <c r="E12" s="3">
        <v>0.3</v>
      </c>
      <c r="F12" s="3">
        <v>0.3</v>
      </c>
      <c r="G12" s="3">
        <v>0.3</v>
      </c>
      <c r="H12" s="3">
        <v>0.3</v>
      </c>
      <c r="I12" s="3">
        <v>0.3</v>
      </c>
      <c r="J12" s="3">
        <v>0.3</v>
      </c>
      <c r="K12" s="3">
        <v>0.3</v>
      </c>
      <c r="L12" s="3">
        <v>0.3</v>
      </c>
      <c r="M12" s="3">
        <v>0.3</v>
      </c>
      <c r="N12" s="3">
        <v>0.3</v>
      </c>
      <c r="O12" s="3">
        <v>0.3</v>
      </c>
      <c r="P12" s="3">
        <v>0.3</v>
      </c>
      <c r="Q12" s="3">
        <v>0.3</v>
      </c>
      <c r="R12" s="3">
        <v>0.3</v>
      </c>
      <c r="S12" s="3">
        <v>0.3</v>
      </c>
      <c r="T12" s="3">
        <v>0.3</v>
      </c>
      <c r="U12" s="3">
        <v>0.3</v>
      </c>
      <c r="V12" s="3">
        <v>0.3</v>
      </c>
      <c r="W12" s="3">
        <v>0.3</v>
      </c>
      <c r="X12" s="3">
        <v>0.3</v>
      </c>
      <c r="Y12" s="3">
        <v>0.3</v>
      </c>
      <c r="Z12" s="3">
        <v>0.3</v>
      </c>
      <c r="AA12" s="3">
        <v>0.3</v>
      </c>
      <c r="AB12" s="3">
        <v>0.3</v>
      </c>
      <c r="AC12" s="3">
        <v>0.3</v>
      </c>
      <c r="AD12" s="3">
        <v>0.3</v>
      </c>
      <c r="AE12" s="3">
        <v>0.3</v>
      </c>
      <c r="AF12" s="3">
        <v>0.3</v>
      </c>
    </row>
    <row r="13" spans="1:34">
      <c r="A13">
        <v>2029</v>
      </c>
      <c r="B13" s="3">
        <v>0.3</v>
      </c>
      <c r="C13" s="3">
        <v>0.3</v>
      </c>
      <c r="D13" s="3">
        <v>0.3</v>
      </c>
      <c r="E13" s="3">
        <v>0.3</v>
      </c>
      <c r="F13" s="3">
        <v>0.3</v>
      </c>
      <c r="G13" s="3">
        <v>0.3</v>
      </c>
      <c r="H13" s="3">
        <v>0.3</v>
      </c>
      <c r="I13" s="3">
        <v>0.3</v>
      </c>
      <c r="J13" s="3">
        <v>0.3</v>
      </c>
      <c r="K13" s="3">
        <v>0.3</v>
      </c>
      <c r="L13" s="3">
        <v>0.3</v>
      </c>
      <c r="M13" s="3">
        <v>0.3</v>
      </c>
      <c r="N13" s="3">
        <v>0.3</v>
      </c>
      <c r="O13" s="3">
        <v>0.3</v>
      </c>
      <c r="P13" s="3">
        <v>0.3</v>
      </c>
      <c r="Q13" s="3">
        <v>0.3</v>
      </c>
      <c r="R13" s="3">
        <v>0.3</v>
      </c>
      <c r="S13" s="3">
        <v>0.3</v>
      </c>
      <c r="T13" s="3">
        <v>0.3</v>
      </c>
      <c r="U13" s="3">
        <v>0.3</v>
      </c>
      <c r="V13" s="3">
        <v>0.3</v>
      </c>
      <c r="W13" s="3">
        <v>0.3</v>
      </c>
      <c r="X13" s="3">
        <v>0.3</v>
      </c>
      <c r="Y13" s="3">
        <v>0.3</v>
      </c>
      <c r="Z13" s="3">
        <v>0.3</v>
      </c>
      <c r="AA13" s="3">
        <v>0.3</v>
      </c>
      <c r="AB13" s="3">
        <v>0.3</v>
      </c>
      <c r="AC13" s="3">
        <v>0.3</v>
      </c>
      <c r="AD13" s="3">
        <v>0.3</v>
      </c>
      <c r="AE13" s="3">
        <v>0.3</v>
      </c>
      <c r="AF13" s="3">
        <v>0.3</v>
      </c>
    </row>
    <row r="14" spans="1:34">
      <c r="A14">
        <v>2030</v>
      </c>
      <c r="B14" s="3">
        <v>0.3</v>
      </c>
      <c r="C14" s="3">
        <v>0.3</v>
      </c>
      <c r="D14" s="3">
        <v>0.3</v>
      </c>
      <c r="E14" s="3">
        <v>0.3</v>
      </c>
      <c r="F14" s="3">
        <v>0.3</v>
      </c>
      <c r="G14" s="3">
        <v>0.3</v>
      </c>
      <c r="H14" s="3">
        <v>0.3</v>
      </c>
      <c r="I14" s="3">
        <v>0.3</v>
      </c>
      <c r="J14" s="3">
        <v>0.3</v>
      </c>
      <c r="K14" s="3">
        <v>0.3</v>
      </c>
      <c r="L14" s="3">
        <v>0.3</v>
      </c>
      <c r="M14" s="3">
        <v>0.3</v>
      </c>
      <c r="N14" s="3">
        <v>0.3</v>
      </c>
      <c r="O14" s="3">
        <v>0.3</v>
      </c>
      <c r="P14" s="3">
        <v>0.3</v>
      </c>
      <c r="Q14" s="3">
        <v>0.3</v>
      </c>
      <c r="R14" s="3">
        <v>0.3</v>
      </c>
      <c r="S14" s="3">
        <v>0.3</v>
      </c>
      <c r="T14" s="3">
        <v>0.3</v>
      </c>
      <c r="U14" s="3">
        <v>0.3</v>
      </c>
      <c r="V14" s="3">
        <v>0.3</v>
      </c>
      <c r="W14" s="3">
        <v>0.3</v>
      </c>
      <c r="X14" s="3">
        <v>0.3</v>
      </c>
      <c r="Y14" s="3">
        <v>0.3</v>
      </c>
      <c r="Z14" s="3">
        <v>0.3</v>
      </c>
      <c r="AA14" s="3">
        <v>0.3</v>
      </c>
      <c r="AB14" s="3">
        <v>0.3</v>
      </c>
      <c r="AC14" s="3">
        <v>0.3</v>
      </c>
      <c r="AD14" s="3">
        <v>0.3</v>
      </c>
      <c r="AE14" s="3">
        <v>0.3</v>
      </c>
      <c r="AF14" s="3">
        <v>0.3</v>
      </c>
    </row>
    <row r="15" spans="1:34">
      <c r="A15">
        <v>2031</v>
      </c>
      <c r="B15" s="3">
        <v>0.3</v>
      </c>
      <c r="C15" s="3">
        <v>0.3</v>
      </c>
      <c r="D15" s="3">
        <v>0.3</v>
      </c>
      <c r="E15" s="3">
        <v>0.3</v>
      </c>
      <c r="F15" s="3">
        <v>0.3</v>
      </c>
      <c r="G15" s="3">
        <v>0.3</v>
      </c>
      <c r="H15" s="3">
        <v>0.3</v>
      </c>
      <c r="I15" s="3">
        <v>0.3</v>
      </c>
      <c r="J15" s="3">
        <v>0.3</v>
      </c>
      <c r="K15" s="3">
        <v>0.3</v>
      </c>
      <c r="L15" s="3">
        <v>0.3</v>
      </c>
      <c r="M15" s="3">
        <v>0.3</v>
      </c>
      <c r="N15" s="3">
        <v>0.3</v>
      </c>
      <c r="O15" s="3">
        <v>0.3</v>
      </c>
      <c r="P15" s="3">
        <v>0.3</v>
      </c>
      <c r="Q15" s="3">
        <v>0.3</v>
      </c>
      <c r="R15" s="3">
        <v>0.3</v>
      </c>
      <c r="S15" s="3">
        <v>0.3</v>
      </c>
      <c r="T15" s="3">
        <v>0.3</v>
      </c>
      <c r="U15" s="3">
        <v>0.3</v>
      </c>
      <c r="V15" s="3">
        <v>0.3</v>
      </c>
      <c r="W15" s="3">
        <v>0.3</v>
      </c>
      <c r="X15" s="3">
        <v>0.3</v>
      </c>
      <c r="Y15" s="3">
        <v>0.3</v>
      </c>
      <c r="Z15" s="3">
        <v>0.3</v>
      </c>
      <c r="AA15" s="3">
        <v>0.3</v>
      </c>
      <c r="AB15" s="3">
        <v>0.3</v>
      </c>
      <c r="AC15" s="3">
        <v>0.3</v>
      </c>
      <c r="AD15" s="3">
        <v>0.3</v>
      </c>
      <c r="AE15" s="3">
        <v>0.3</v>
      </c>
      <c r="AF15" s="3">
        <v>0.3</v>
      </c>
    </row>
    <row r="16" spans="1:34">
      <c r="A16">
        <v>2032</v>
      </c>
      <c r="B16" s="3">
        <v>0.3</v>
      </c>
      <c r="C16" s="3">
        <v>0.3</v>
      </c>
      <c r="D16" s="3">
        <v>0.3</v>
      </c>
      <c r="E16" s="3">
        <v>0.3</v>
      </c>
      <c r="F16" s="3">
        <v>0.3</v>
      </c>
      <c r="G16" s="3">
        <v>0.3</v>
      </c>
      <c r="H16" s="3">
        <v>0.3</v>
      </c>
      <c r="I16" s="3">
        <v>0.3</v>
      </c>
      <c r="J16" s="3">
        <v>0.3</v>
      </c>
      <c r="K16" s="3">
        <v>0.3</v>
      </c>
      <c r="L16" s="3">
        <v>0.3</v>
      </c>
      <c r="M16" s="3">
        <v>0.3</v>
      </c>
      <c r="N16" s="3">
        <v>0.3</v>
      </c>
      <c r="O16" s="3">
        <v>0.3</v>
      </c>
      <c r="P16" s="3">
        <v>0.3</v>
      </c>
      <c r="Q16" s="3">
        <v>0.3</v>
      </c>
      <c r="R16" s="3">
        <v>0.3</v>
      </c>
      <c r="S16" s="3">
        <v>0.3</v>
      </c>
      <c r="T16" s="3">
        <v>0.3</v>
      </c>
      <c r="U16" s="3">
        <v>0.3</v>
      </c>
      <c r="V16" s="3">
        <v>0.3</v>
      </c>
      <c r="W16" s="3">
        <v>0.3</v>
      </c>
      <c r="X16" s="3">
        <v>0.3</v>
      </c>
      <c r="Y16" s="3">
        <v>0.3</v>
      </c>
      <c r="Z16" s="3">
        <v>0.3</v>
      </c>
      <c r="AA16" s="3">
        <v>0.3</v>
      </c>
      <c r="AB16" s="3">
        <v>0.3</v>
      </c>
      <c r="AC16" s="3">
        <v>0.3</v>
      </c>
      <c r="AD16" s="3">
        <v>0.3</v>
      </c>
      <c r="AE16" s="3">
        <v>0.3</v>
      </c>
      <c r="AF16" s="3">
        <v>0.3</v>
      </c>
    </row>
    <row r="17" spans="1:32">
      <c r="A17">
        <v>2033</v>
      </c>
      <c r="B17" s="3">
        <v>0.3</v>
      </c>
      <c r="C17" s="3">
        <v>0.3</v>
      </c>
      <c r="D17" s="3">
        <v>0.3</v>
      </c>
      <c r="E17" s="3">
        <v>0.3</v>
      </c>
      <c r="F17" s="3">
        <v>0.3</v>
      </c>
      <c r="G17" s="3">
        <v>0.3</v>
      </c>
      <c r="H17" s="3">
        <v>0.3</v>
      </c>
      <c r="I17" s="3">
        <v>0.3</v>
      </c>
      <c r="J17" s="3">
        <v>0.3</v>
      </c>
      <c r="K17" s="3">
        <v>0.3</v>
      </c>
      <c r="L17" s="3">
        <v>0.3</v>
      </c>
      <c r="M17" s="3">
        <v>0.3</v>
      </c>
      <c r="N17" s="3">
        <v>0.3</v>
      </c>
      <c r="O17" s="3">
        <v>0.3</v>
      </c>
      <c r="P17" s="3">
        <v>0.3</v>
      </c>
      <c r="Q17" s="3">
        <v>0.3</v>
      </c>
      <c r="R17" s="3">
        <v>0.3</v>
      </c>
      <c r="S17" s="3">
        <v>0.3</v>
      </c>
      <c r="T17" s="3">
        <v>0.3</v>
      </c>
      <c r="U17" s="3">
        <v>0.3</v>
      </c>
      <c r="V17" s="3">
        <v>0.3</v>
      </c>
      <c r="W17" s="3">
        <v>0.3</v>
      </c>
      <c r="X17" s="3">
        <v>0.3</v>
      </c>
      <c r="Y17" s="3">
        <v>0.3</v>
      </c>
      <c r="Z17" s="3">
        <v>0.3</v>
      </c>
      <c r="AA17" s="3">
        <v>0.3</v>
      </c>
      <c r="AB17" s="3">
        <v>0.3</v>
      </c>
      <c r="AC17" s="3">
        <v>0.3</v>
      </c>
      <c r="AD17" s="3">
        <v>0.3</v>
      </c>
      <c r="AE17" s="3">
        <v>0.3</v>
      </c>
      <c r="AF17" s="3">
        <v>0.3</v>
      </c>
    </row>
    <row r="18" spans="1:32">
      <c r="A18">
        <v>2034</v>
      </c>
      <c r="B18" s="3">
        <v>0.3</v>
      </c>
      <c r="C18" s="3">
        <v>0.3</v>
      </c>
      <c r="D18" s="3">
        <v>0.3</v>
      </c>
      <c r="E18" s="3">
        <v>0.3</v>
      </c>
      <c r="F18" s="3">
        <v>0.3</v>
      </c>
      <c r="G18" s="3">
        <v>0.3</v>
      </c>
      <c r="H18" s="3">
        <v>0.3</v>
      </c>
      <c r="I18" s="3">
        <v>0.3</v>
      </c>
      <c r="J18" s="3">
        <v>0.3</v>
      </c>
      <c r="K18" s="3">
        <v>0.3</v>
      </c>
      <c r="L18" s="3">
        <v>0.3</v>
      </c>
      <c r="M18" s="3">
        <v>0.3</v>
      </c>
      <c r="N18" s="3">
        <v>0.3</v>
      </c>
      <c r="O18" s="3">
        <v>0.3</v>
      </c>
      <c r="P18" s="3">
        <v>0.3</v>
      </c>
      <c r="Q18" s="3">
        <v>0.3</v>
      </c>
      <c r="R18" s="3">
        <v>0.3</v>
      </c>
      <c r="S18" s="3">
        <v>0.3</v>
      </c>
      <c r="T18" s="3">
        <v>0.3</v>
      </c>
      <c r="U18" s="3">
        <v>0.3</v>
      </c>
      <c r="V18" s="3">
        <v>0.3</v>
      </c>
      <c r="W18" s="3">
        <v>0.3</v>
      </c>
      <c r="X18" s="3">
        <v>0.3</v>
      </c>
      <c r="Y18" s="3">
        <v>0.3</v>
      </c>
      <c r="Z18" s="3">
        <v>0.3</v>
      </c>
      <c r="AA18" s="3">
        <v>0.3</v>
      </c>
      <c r="AB18" s="3">
        <v>0.3</v>
      </c>
      <c r="AC18" s="3">
        <v>0.3</v>
      </c>
      <c r="AD18" s="3">
        <v>0.3</v>
      </c>
      <c r="AE18" s="3">
        <v>0.3</v>
      </c>
      <c r="AF18" s="3">
        <v>0.3</v>
      </c>
    </row>
    <row r="19" spans="1:32">
      <c r="A19">
        <v>2035</v>
      </c>
      <c r="B19" s="3">
        <v>0.3</v>
      </c>
      <c r="C19" s="3">
        <v>0.3</v>
      </c>
      <c r="D19" s="3">
        <v>0.3</v>
      </c>
      <c r="E19" s="3">
        <v>0.3</v>
      </c>
      <c r="F19" s="3">
        <v>0.3</v>
      </c>
      <c r="G19" s="3">
        <v>0.3</v>
      </c>
      <c r="H19" s="3">
        <v>0.3</v>
      </c>
      <c r="I19" s="3">
        <v>0.3</v>
      </c>
      <c r="J19" s="3">
        <v>0.3</v>
      </c>
      <c r="K19" s="3">
        <v>0.3</v>
      </c>
      <c r="L19" s="3">
        <v>0.3</v>
      </c>
      <c r="M19" s="3">
        <v>0.3</v>
      </c>
      <c r="N19" s="3">
        <v>0.3</v>
      </c>
      <c r="O19" s="3">
        <v>0.3</v>
      </c>
      <c r="P19" s="3">
        <v>0.3</v>
      </c>
      <c r="Q19" s="3">
        <v>0.3</v>
      </c>
      <c r="R19" s="3">
        <v>0.3</v>
      </c>
      <c r="S19" s="3">
        <v>0.3</v>
      </c>
      <c r="T19" s="3">
        <v>0.3</v>
      </c>
      <c r="U19" s="3">
        <v>0.3</v>
      </c>
      <c r="V19" s="3">
        <v>0.3</v>
      </c>
      <c r="W19" s="3">
        <v>0.3</v>
      </c>
      <c r="X19" s="3">
        <v>0.3</v>
      </c>
      <c r="Y19" s="3">
        <v>0.3</v>
      </c>
      <c r="Z19" s="3">
        <v>0.3</v>
      </c>
      <c r="AA19" s="3">
        <v>0.3</v>
      </c>
      <c r="AB19" s="3">
        <v>0.3</v>
      </c>
      <c r="AC19" s="3">
        <v>0.3</v>
      </c>
      <c r="AD19" s="3">
        <v>0.3</v>
      </c>
      <c r="AE19" s="3">
        <v>0.3</v>
      </c>
      <c r="AF19" s="3">
        <v>0.3</v>
      </c>
    </row>
    <row r="20" spans="1:32">
      <c r="A20">
        <v>2036</v>
      </c>
      <c r="B20" s="3">
        <v>0.3</v>
      </c>
      <c r="C20" s="3">
        <v>0.3</v>
      </c>
      <c r="D20" s="3">
        <v>0.3</v>
      </c>
      <c r="E20" s="3">
        <v>0.3</v>
      </c>
      <c r="F20" s="3">
        <v>0.3</v>
      </c>
      <c r="G20" s="3">
        <v>0.3</v>
      </c>
      <c r="H20" s="3">
        <v>0.3</v>
      </c>
      <c r="I20" s="3">
        <v>0.3</v>
      </c>
      <c r="J20" s="3">
        <v>0.3</v>
      </c>
      <c r="K20" s="3">
        <v>0.3</v>
      </c>
      <c r="L20" s="3">
        <v>0.3</v>
      </c>
      <c r="M20" s="3">
        <v>0.3</v>
      </c>
      <c r="N20" s="3">
        <v>0.3</v>
      </c>
      <c r="O20" s="3">
        <v>0.3</v>
      </c>
      <c r="P20" s="3">
        <v>0.3</v>
      </c>
      <c r="Q20" s="3">
        <v>0.3</v>
      </c>
      <c r="R20" s="3">
        <v>0.3</v>
      </c>
      <c r="S20" s="3">
        <v>0.3</v>
      </c>
      <c r="T20" s="3">
        <v>0.3</v>
      </c>
      <c r="U20" s="3">
        <v>0.3</v>
      </c>
      <c r="V20" s="3">
        <v>0.3</v>
      </c>
      <c r="W20" s="3">
        <v>0.3</v>
      </c>
      <c r="X20" s="3">
        <v>0.3</v>
      </c>
      <c r="Y20" s="3">
        <v>0.3</v>
      </c>
      <c r="Z20" s="3">
        <v>0.3</v>
      </c>
      <c r="AA20" s="3">
        <v>0.3</v>
      </c>
      <c r="AB20" s="3">
        <v>0.3</v>
      </c>
      <c r="AC20" s="3">
        <v>0.3</v>
      </c>
      <c r="AD20" s="3">
        <v>0.3</v>
      </c>
      <c r="AE20" s="3">
        <v>0.3</v>
      </c>
      <c r="AF20" s="3">
        <v>0.3</v>
      </c>
    </row>
    <row r="21" spans="1:32">
      <c r="A21">
        <v>2037</v>
      </c>
      <c r="B21" s="3">
        <v>0.3</v>
      </c>
      <c r="C21" s="3">
        <v>0.3</v>
      </c>
      <c r="D21" s="3">
        <v>0.3</v>
      </c>
      <c r="E21" s="3">
        <v>0.3</v>
      </c>
      <c r="F21" s="3">
        <v>0.3</v>
      </c>
      <c r="G21" s="3">
        <v>0.3</v>
      </c>
      <c r="H21" s="3">
        <v>0.3</v>
      </c>
      <c r="I21" s="3">
        <v>0.3</v>
      </c>
      <c r="J21" s="3">
        <v>0.3</v>
      </c>
      <c r="K21" s="3">
        <v>0.3</v>
      </c>
      <c r="L21" s="3">
        <v>0.3</v>
      </c>
      <c r="M21" s="3">
        <v>0.3</v>
      </c>
      <c r="N21" s="3">
        <v>0.3</v>
      </c>
      <c r="O21" s="3">
        <v>0.3</v>
      </c>
      <c r="P21" s="3">
        <v>0.3</v>
      </c>
      <c r="Q21" s="3">
        <v>0.3</v>
      </c>
      <c r="R21" s="3">
        <v>0.3</v>
      </c>
      <c r="S21" s="3">
        <v>0.3</v>
      </c>
      <c r="T21" s="3">
        <v>0.3</v>
      </c>
      <c r="U21" s="3">
        <v>0.3</v>
      </c>
      <c r="V21" s="3">
        <v>0.3</v>
      </c>
      <c r="W21" s="3">
        <v>0.3</v>
      </c>
      <c r="X21" s="3">
        <v>0.3</v>
      </c>
      <c r="Y21" s="3">
        <v>0.3</v>
      </c>
      <c r="Z21" s="3">
        <v>0.3</v>
      </c>
      <c r="AA21" s="3">
        <v>0.3</v>
      </c>
      <c r="AB21" s="3">
        <v>0.3</v>
      </c>
      <c r="AC21" s="3">
        <v>0.3</v>
      </c>
      <c r="AD21" s="3">
        <v>0.3</v>
      </c>
      <c r="AE21" s="3">
        <v>0.3</v>
      </c>
      <c r="AF21" s="3">
        <v>0.3</v>
      </c>
    </row>
    <row r="22" spans="1:32">
      <c r="A22">
        <v>2038</v>
      </c>
      <c r="B22" s="3">
        <v>0.3</v>
      </c>
      <c r="C22" s="3">
        <v>0.3</v>
      </c>
      <c r="D22" s="3">
        <v>0.3</v>
      </c>
      <c r="E22" s="3">
        <v>0.3</v>
      </c>
      <c r="F22" s="3">
        <v>0.3</v>
      </c>
      <c r="G22" s="3">
        <v>0.3</v>
      </c>
      <c r="H22" s="3">
        <v>0.3</v>
      </c>
      <c r="I22" s="3">
        <v>0.3</v>
      </c>
      <c r="J22" s="3">
        <v>0.3</v>
      </c>
      <c r="K22" s="3">
        <v>0.3</v>
      </c>
      <c r="L22" s="3">
        <v>0.3</v>
      </c>
      <c r="M22" s="3">
        <v>0.3</v>
      </c>
      <c r="N22" s="3">
        <v>0.3</v>
      </c>
      <c r="O22" s="3">
        <v>0.3</v>
      </c>
      <c r="P22" s="3">
        <v>0.3</v>
      </c>
      <c r="Q22" s="3">
        <v>0.3</v>
      </c>
      <c r="R22" s="3">
        <v>0.3</v>
      </c>
      <c r="S22" s="3">
        <v>0.3</v>
      </c>
      <c r="T22" s="3">
        <v>0.3</v>
      </c>
      <c r="U22" s="3">
        <v>0.3</v>
      </c>
      <c r="V22" s="3">
        <v>0.3</v>
      </c>
      <c r="W22" s="3">
        <v>0.3</v>
      </c>
      <c r="X22" s="3">
        <v>0.3</v>
      </c>
      <c r="Y22" s="3">
        <v>0.3</v>
      </c>
      <c r="Z22" s="3">
        <v>0.3</v>
      </c>
      <c r="AA22" s="3">
        <v>0.3</v>
      </c>
      <c r="AB22" s="3">
        <v>0.3</v>
      </c>
      <c r="AC22" s="3">
        <v>0.3</v>
      </c>
      <c r="AD22" s="3">
        <v>0.3</v>
      </c>
      <c r="AE22" s="3">
        <v>0.3</v>
      </c>
      <c r="AF22" s="3">
        <v>0.3</v>
      </c>
    </row>
    <row r="23" spans="1:32">
      <c r="A23">
        <v>2039</v>
      </c>
      <c r="B23" s="3">
        <v>0.3</v>
      </c>
      <c r="C23" s="3">
        <v>0.3</v>
      </c>
      <c r="D23" s="3">
        <v>0.3</v>
      </c>
      <c r="E23" s="3">
        <v>0.3</v>
      </c>
      <c r="F23" s="3">
        <v>0.3</v>
      </c>
      <c r="G23" s="3">
        <v>0.3</v>
      </c>
      <c r="H23" s="3">
        <v>0.3</v>
      </c>
      <c r="I23" s="3">
        <v>0.3</v>
      </c>
      <c r="J23" s="3">
        <v>0.3</v>
      </c>
      <c r="K23" s="3">
        <v>0.3</v>
      </c>
      <c r="L23" s="3">
        <v>0.3</v>
      </c>
      <c r="M23" s="3">
        <v>0.3</v>
      </c>
      <c r="N23" s="3">
        <v>0.3</v>
      </c>
      <c r="O23" s="3">
        <v>0.3</v>
      </c>
      <c r="P23" s="3">
        <v>0.3</v>
      </c>
      <c r="Q23" s="3">
        <v>0.3</v>
      </c>
      <c r="R23" s="3">
        <v>0.3</v>
      </c>
      <c r="S23" s="3">
        <v>0.3</v>
      </c>
      <c r="T23" s="3">
        <v>0.3</v>
      </c>
      <c r="U23" s="3">
        <v>0.3</v>
      </c>
      <c r="V23" s="3">
        <v>0.3</v>
      </c>
      <c r="W23" s="3">
        <v>0.3</v>
      </c>
      <c r="X23" s="3">
        <v>0.3</v>
      </c>
      <c r="Y23" s="3">
        <v>0.3</v>
      </c>
      <c r="Z23" s="3">
        <v>0.3</v>
      </c>
      <c r="AA23" s="3">
        <v>0.3</v>
      </c>
      <c r="AB23" s="3">
        <v>0.3</v>
      </c>
      <c r="AC23" s="3">
        <v>0.3</v>
      </c>
      <c r="AD23" s="3">
        <v>0.3</v>
      </c>
      <c r="AE23" s="3">
        <v>0.3</v>
      </c>
      <c r="AF23" s="3">
        <v>0.3</v>
      </c>
    </row>
    <row r="24" spans="1:32">
      <c r="A24">
        <v>2040</v>
      </c>
      <c r="B24" s="3">
        <v>0.3</v>
      </c>
      <c r="C24" s="3">
        <v>0.3</v>
      </c>
      <c r="D24" s="3">
        <v>0.3</v>
      </c>
      <c r="E24" s="3">
        <v>0.3</v>
      </c>
      <c r="F24" s="3">
        <v>0.3</v>
      </c>
      <c r="G24" s="3">
        <v>0.3</v>
      </c>
      <c r="H24" s="3">
        <v>0.3</v>
      </c>
      <c r="I24" s="3">
        <v>0.3</v>
      </c>
      <c r="J24" s="3">
        <v>0.3</v>
      </c>
      <c r="K24" s="3">
        <v>0.3</v>
      </c>
      <c r="L24" s="3">
        <v>0.3</v>
      </c>
      <c r="M24" s="3">
        <v>0.3</v>
      </c>
      <c r="N24" s="3">
        <v>0.3</v>
      </c>
      <c r="O24" s="3">
        <v>0.3</v>
      </c>
      <c r="P24" s="3">
        <v>0.3</v>
      </c>
      <c r="Q24" s="3">
        <v>0.3</v>
      </c>
      <c r="R24" s="3">
        <v>0.3</v>
      </c>
      <c r="S24" s="3">
        <v>0.3</v>
      </c>
      <c r="T24" s="3">
        <v>0.3</v>
      </c>
      <c r="U24" s="3">
        <v>0.3</v>
      </c>
      <c r="V24" s="3">
        <v>0.3</v>
      </c>
      <c r="W24" s="3">
        <v>0.3</v>
      </c>
      <c r="X24" s="3">
        <v>0.3</v>
      </c>
      <c r="Y24" s="3">
        <v>0.3</v>
      </c>
      <c r="Z24" s="3">
        <v>0.3</v>
      </c>
      <c r="AA24" s="3">
        <v>0.3</v>
      </c>
      <c r="AB24" s="3">
        <v>0.3</v>
      </c>
      <c r="AC24" s="3">
        <v>0.3</v>
      </c>
      <c r="AD24" s="3">
        <v>0.3</v>
      </c>
      <c r="AE24" s="3">
        <v>0.3</v>
      </c>
      <c r="AF24" s="3">
        <v>0.3</v>
      </c>
    </row>
    <row r="25" spans="1:32">
      <c r="A25">
        <v>2041</v>
      </c>
      <c r="B25" s="3">
        <v>0.3</v>
      </c>
      <c r="C25" s="3">
        <v>0.3</v>
      </c>
      <c r="D25" s="3">
        <v>0.3</v>
      </c>
      <c r="E25" s="3">
        <v>0.3</v>
      </c>
      <c r="F25" s="3">
        <v>0.3</v>
      </c>
      <c r="G25" s="3">
        <v>0.3</v>
      </c>
      <c r="H25" s="3">
        <v>0.3</v>
      </c>
      <c r="I25" s="3">
        <v>0.3</v>
      </c>
      <c r="J25" s="3">
        <v>0.3</v>
      </c>
      <c r="K25" s="3">
        <v>0.3</v>
      </c>
      <c r="L25" s="3">
        <v>0.3</v>
      </c>
      <c r="M25" s="3">
        <v>0.3</v>
      </c>
      <c r="N25" s="3">
        <v>0.3</v>
      </c>
      <c r="O25" s="3">
        <v>0.3</v>
      </c>
      <c r="P25" s="3">
        <v>0.3</v>
      </c>
      <c r="Q25" s="3">
        <v>0.3</v>
      </c>
      <c r="R25" s="3">
        <v>0.3</v>
      </c>
      <c r="S25" s="3">
        <v>0.3</v>
      </c>
      <c r="T25" s="3">
        <v>0.3</v>
      </c>
      <c r="U25" s="3">
        <v>0.3</v>
      </c>
      <c r="V25" s="3">
        <v>0.3</v>
      </c>
      <c r="W25" s="3">
        <v>0.3</v>
      </c>
      <c r="X25" s="3">
        <v>0.3</v>
      </c>
      <c r="Y25" s="3">
        <v>0.3</v>
      </c>
      <c r="Z25" s="3">
        <v>0.3</v>
      </c>
      <c r="AA25" s="3">
        <v>0.3</v>
      </c>
      <c r="AB25" s="3">
        <v>0.3</v>
      </c>
      <c r="AC25" s="3">
        <v>0.3</v>
      </c>
      <c r="AD25" s="3">
        <v>0.3</v>
      </c>
      <c r="AE25" s="3">
        <v>0.3</v>
      </c>
      <c r="AF25" s="3">
        <v>0.3</v>
      </c>
    </row>
    <row r="26" spans="1:32">
      <c r="A26">
        <v>2042</v>
      </c>
      <c r="B26" s="3">
        <v>0.3</v>
      </c>
      <c r="C26" s="3">
        <v>0.3</v>
      </c>
      <c r="D26" s="3">
        <v>0.3</v>
      </c>
      <c r="E26" s="3">
        <v>0.3</v>
      </c>
      <c r="F26" s="3">
        <v>0.3</v>
      </c>
      <c r="G26" s="3">
        <v>0.3</v>
      </c>
      <c r="H26" s="3">
        <v>0.3</v>
      </c>
      <c r="I26" s="3">
        <v>0.3</v>
      </c>
      <c r="J26" s="3">
        <v>0.3</v>
      </c>
      <c r="K26" s="3">
        <v>0.3</v>
      </c>
      <c r="L26" s="3">
        <v>0.3</v>
      </c>
      <c r="M26" s="3">
        <v>0.3</v>
      </c>
      <c r="N26" s="3">
        <v>0.3</v>
      </c>
      <c r="O26" s="3">
        <v>0.3</v>
      </c>
      <c r="P26" s="3">
        <v>0.3</v>
      </c>
      <c r="Q26" s="3">
        <v>0.3</v>
      </c>
      <c r="R26" s="3">
        <v>0.3</v>
      </c>
      <c r="S26" s="3">
        <v>0.3</v>
      </c>
      <c r="T26" s="3">
        <v>0.3</v>
      </c>
      <c r="U26" s="3">
        <v>0.3</v>
      </c>
      <c r="V26" s="3">
        <v>0.3</v>
      </c>
      <c r="W26" s="3">
        <v>0.3</v>
      </c>
      <c r="X26" s="3">
        <v>0.3</v>
      </c>
      <c r="Y26" s="3">
        <v>0.3</v>
      </c>
      <c r="Z26" s="3">
        <v>0.3</v>
      </c>
      <c r="AA26" s="3">
        <v>0.3</v>
      </c>
      <c r="AB26" s="3">
        <v>0.3</v>
      </c>
      <c r="AC26" s="3">
        <v>0.3</v>
      </c>
      <c r="AD26" s="3">
        <v>0.3</v>
      </c>
      <c r="AE26" s="3">
        <v>0.3</v>
      </c>
      <c r="AF26" s="3">
        <v>0.3</v>
      </c>
    </row>
    <row r="27" spans="1:32">
      <c r="A27">
        <v>2043</v>
      </c>
      <c r="B27" s="3">
        <v>0.3</v>
      </c>
      <c r="C27" s="3">
        <v>0.3</v>
      </c>
      <c r="D27" s="3">
        <v>0.3</v>
      </c>
      <c r="E27" s="3">
        <v>0.3</v>
      </c>
      <c r="F27" s="3">
        <v>0.3</v>
      </c>
      <c r="G27" s="3">
        <v>0.3</v>
      </c>
      <c r="H27" s="3">
        <v>0.3</v>
      </c>
      <c r="I27" s="3">
        <v>0.3</v>
      </c>
      <c r="J27" s="3">
        <v>0.3</v>
      </c>
      <c r="K27" s="3">
        <v>0.3</v>
      </c>
      <c r="L27" s="3">
        <v>0.3</v>
      </c>
      <c r="M27" s="3">
        <v>0.3</v>
      </c>
      <c r="N27" s="3">
        <v>0.3</v>
      </c>
      <c r="O27" s="3">
        <v>0.3</v>
      </c>
      <c r="P27" s="3">
        <v>0.3</v>
      </c>
      <c r="Q27" s="3">
        <v>0.3</v>
      </c>
      <c r="R27" s="3">
        <v>0.3</v>
      </c>
      <c r="S27" s="3">
        <v>0.3</v>
      </c>
      <c r="T27" s="3">
        <v>0.3</v>
      </c>
      <c r="U27" s="3">
        <v>0.3</v>
      </c>
      <c r="V27" s="3">
        <v>0.3</v>
      </c>
      <c r="W27" s="3">
        <v>0.3</v>
      </c>
      <c r="X27" s="3">
        <v>0.3</v>
      </c>
      <c r="Y27" s="3">
        <v>0.3</v>
      </c>
      <c r="Z27" s="3">
        <v>0.3</v>
      </c>
      <c r="AA27" s="3">
        <v>0.3</v>
      </c>
      <c r="AB27" s="3">
        <v>0.3</v>
      </c>
      <c r="AC27" s="3">
        <v>0.3</v>
      </c>
      <c r="AD27" s="3">
        <v>0.3</v>
      </c>
      <c r="AE27" s="3">
        <v>0.3</v>
      </c>
      <c r="AF27" s="3">
        <v>0.3</v>
      </c>
    </row>
    <row r="28" spans="1:32">
      <c r="A28">
        <v>2044</v>
      </c>
      <c r="B28" s="3">
        <v>0.3</v>
      </c>
      <c r="C28" s="3">
        <v>0.3</v>
      </c>
      <c r="D28" s="3">
        <v>0.3</v>
      </c>
      <c r="E28" s="3">
        <v>0.3</v>
      </c>
      <c r="F28" s="3">
        <v>0.3</v>
      </c>
      <c r="G28" s="3">
        <v>0.3</v>
      </c>
      <c r="H28" s="3">
        <v>0.3</v>
      </c>
      <c r="I28" s="3">
        <v>0.3</v>
      </c>
      <c r="J28" s="3">
        <v>0.3</v>
      </c>
      <c r="K28" s="3">
        <v>0.3</v>
      </c>
      <c r="L28" s="3">
        <v>0.3</v>
      </c>
      <c r="M28" s="3">
        <v>0.3</v>
      </c>
      <c r="N28" s="3">
        <v>0.3</v>
      </c>
      <c r="O28" s="3">
        <v>0.3</v>
      </c>
      <c r="P28" s="3">
        <v>0.3</v>
      </c>
      <c r="Q28" s="3">
        <v>0.3</v>
      </c>
      <c r="R28" s="3">
        <v>0.3</v>
      </c>
      <c r="S28" s="3">
        <v>0.3</v>
      </c>
      <c r="T28" s="3">
        <v>0.3</v>
      </c>
      <c r="U28" s="3">
        <v>0.3</v>
      </c>
      <c r="V28" s="3">
        <v>0.3</v>
      </c>
      <c r="W28" s="3">
        <v>0.3</v>
      </c>
      <c r="X28" s="3">
        <v>0.3</v>
      </c>
      <c r="Y28" s="3">
        <v>0.3</v>
      </c>
      <c r="Z28" s="3">
        <v>0.3</v>
      </c>
      <c r="AA28" s="3">
        <v>0.3</v>
      </c>
      <c r="AB28" s="3">
        <v>0.3</v>
      </c>
      <c r="AC28" s="3">
        <v>0.3</v>
      </c>
      <c r="AD28" s="3">
        <v>0.3</v>
      </c>
      <c r="AE28" s="3">
        <v>0.3</v>
      </c>
      <c r="AF28" s="3">
        <v>0.3</v>
      </c>
    </row>
    <row r="29" spans="1:32">
      <c r="A29">
        <v>2045</v>
      </c>
      <c r="B29" s="3">
        <v>0.3</v>
      </c>
      <c r="C29" s="3">
        <v>0.3</v>
      </c>
      <c r="D29" s="3">
        <v>0.3</v>
      </c>
      <c r="E29" s="3">
        <v>0.3</v>
      </c>
      <c r="F29" s="3">
        <v>0.3</v>
      </c>
      <c r="G29" s="3">
        <v>0.3</v>
      </c>
      <c r="H29" s="3">
        <v>0.3</v>
      </c>
      <c r="I29" s="3">
        <v>0.3</v>
      </c>
      <c r="J29" s="3">
        <v>0.3</v>
      </c>
      <c r="K29" s="3">
        <v>0.3</v>
      </c>
      <c r="L29" s="3">
        <v>0.3</v>
      </c>
      <c r="M29" s="3">
        <v>0.3</v>
      </c>
      <c r="N29" s="3">
        <v>0.3</v>
      </c>
      <c r="O29" s="3">
        <v>0.3</v>
      </c>
      <c r="P29" s="3">
        <v>0.3</v>
      </c>
      <c r="Q29" s="3">
        <v>0.3</v>
      </c>
      <c r="R29" s="3">
        <v>0.3</v>
      </c>
      <c r="S29" s="3">
        <v>0.3</v>
      </c>
      <c r="T29" s="3">
        <v>0.3</v>
      </c>
      <c r="U29" s="3">
        <v>0.3</v>
      </c>
      <c r="V29" s="3">
        <v>0.3</v>
      </c>
      <c r="W29" s="3">
        <v>0.3</v>
      </c>
      <c r="X29" s="3">
        <v>0.3</v>
      </c>
      <c r="Y29" s="3">
        <v>0.3</v>
      </c>
      <c r="Z29" s="3">
        <v>0.3</v>
      </c>
      <c r="AA29" s="3">
        <v>0.3</v>
      </c>
      <c r="AB29" s="3">
        <v>0.3</v>
      </c>
      <c r="AC29" s="3">
        <v>0.3</v>
      </c>
      <c r="AD29" s="3">
        <v>0.3</v>
      </c>
      <c r="AE29" s="3">
        <v>0.3</v>
      </c>
      <c r="AF29" s="3">
        <v>0.3</v>
      </c>
    </row>
    <row r="30" spans="1:32">
      <c r="A30">
        <v>2046</v>
      </c>
      <c r="B30" s="3">
        <v>0.3</v>
      </c>
      <c r="C30" s="3">
        <v>0.3</v>
      </c>
      <c r="D30" s="3">
        <v>0.3</v>
      </c>
      <c r="E30" s="3">
        <v>0.3</v>
      </c>
      <c r="F30" s="3">
        <v>0.3</v>
      </c>
      <c r="G30" s="3">
        <v>0.3</v>
      </c>
      <c r="H30" s="3">
        <v>0.3</v>
      </c>
      <c r="I30" s="3">
        <v>0.3</v>
      </c>
      <c r="J30" s="3">
        <v>0.3</v>
      </c>
      <c r="K30" s="3">
        <v>0.3</v>
      </c>
      <c r="L30" s="3">
        <v>0.3</v>
      </c>
      <c r="M30" s="3">
        <v>0.3</v>
      </c>
      <c r="N30" s="3">
        <v>0.3</v>
      </c>
      <c r="O30" s="3">
        <v>0.3</v>
      </c>
      <c r="P30" s="3">
        <v>0.3</v>
      </c>
      <c r="Q30" s="3">
        <v>0.3</v>
      </c>
      <c r="R30" s="3">
        <v>0.3</v>
      </c>
      <c r="S30" s="3">
        <v>0.3</v>
      </c>
      <c r="T30" s="3">
        <v>0.3</v>
      </c>
      <c r="U30" s="3">
        <v>0.3</v>
      </c>
      <c r="V30" s="3">
        <v>0.3</v>
      </c>
      <c r="W30" s="3">
        <v>0.3</v>
      </c>
      <c r="X30" s="3">
        <v>0.3</v>
      </c>
      <c r="Y30" s="3">
        <v>0.3</v>
      </c>
      <c r="Z30" s="3">
        <v>0.3</v>
      </c>
      <c r="AA30" s="3">
        <v>0.3</v>
      </c>
      <c r="AB30" s="3">
        <v>0.3</v>
      </c>
      <c r="AC30" s="3">
        <v>0.3</v>
      </c>
      <c r="AD30" s="3">
        <v>0.3</v>
      </c>
      <c r="AE30" s="3">
        <v>0.3</v>
      </c>
      <c r="AF30" s="3">
        <v>0.3</v>
      </c>
    </row>
    <row r="31" spans="1:32">
      <c r="A31">
        <v>2047</v>
      </c>
      <c r="B31" s="3">
        <v>0.3</v>
      </c>
      <c r="C31" s="3">
        <v>0.3</v>
      </c>
      <c r="D31" s="3">
        <v>0.3</v>
      </c>
      <c r="E31" s="3">
        <v>0.3</v>
      </c>
      <c r="F31" s="3">
        <v>0.3</v>
      </c>
      <c r="G31" s="3">
        <v>0.3</v>
      </c>
      <c r="H31" s="3">
        <v>0.3</v>
      </c>
      <c r="I31" s="3">
        <v>0.3</v>
      </c>
      <c r="J31" s="3">
        <v>0.3</v>
      </c>
      <c r="K31" s="3">
        <v>0.3</v>
      </c>
      <c r="L31" s="3">
        <v>0.3</v>
      </c>
      <c r="M31" s="3">
        <v>0.3</v>
      </c>
      <c r="N31" s="3">
        <v>0.3</v>
      </c>
      <c r="O31" s="3">
        <v>0.3</v>
      </c>
      <c r="P31" s="3">
        <v>0.3</v>
      </c>
      <c r="Q31" s="3">
        <v>0.3</v>
      </c>
      <c r="R31" s="3">
        <v>0.3</v>
      </c>
      <c r="S31" s="3">
        <v>0.3</v>
      </c>
      <c r="T31" s="3">
        <v>0.3</v>
      </c>
      <c r="U31" s="3">
        <v>0.3</v>
      </c>
      <c r="V31" s="3">
        <v>0.3</v>
      </c>
      <c r="W31" s="3">
        <v>0.3</v>
      </c>
      <c r="X31" s="3">
        <v>0.3</v>
      </c>
      <c r="Y31" s="3">
        <v>0.3</v>
      </c>
      <c r="Z31" s="3">
        <v>0.3</v>
      </c>
      <c r="AA31" s="3">
        <v>0.3</v>
      </c>
      <c r="AB31" s="3">
        <v>0.3</v>
      </c>
      <c r="AC31" s="3">
        <v>0.3</v>
      </c>
      <c r="AD31" s="3">
        <v>0.3</v>
      </c>
      <c r="AE31" s="3">
        <v>0.3</v>
      </c>
      <c r="AF31" s="3">
        <v>0.3</v>
      </c>
    </row>
    <row r="32" spans="1:32">
      <c r="A32">
        <v>2048</v>
      </c>
      <c r="B32" s="3">
        <v>0.3</v>
      </c>
      <c r="C32" s="3">
        <v>0.3</v>
      </c>
      <c r="D32" s="3">
        <v>0.3</v>
      </c>
      <c r="E32" s="3">
        <v>0.3</v>
      </c>
      <c r="F32" s="3">
        <v>0.3</v>
      </c>
      <c r="G32" s="3">
        <v>0.3</v>
      </c>
      <c r="H32" s="3">
        <v>0.3</v>
      </c>
      <c r="I32" s="3">
        <v>0.3</v>
      </c>
      <c r="J32" s="3">
        <v>0.3</v>
      </c>
      <c r="K32" s="3">
        <v>0.3</v>
      </c>
      <c r="L32" s="3">
        <v>0.3</v>
      </c>
      <c r="M32" s="3">
        <v>0.3</v>
      </c>
      <c r="N32" s="3">
        <v>0.3</v>
      </c>
      <c r="O32" s="3">
        <v>0.3</v>
      </c>
      <c r="P32" s="3">
        <v>0.3</v>
      </c>
      <c r="Q32" s="3">
        <v>0.3</v>
      </c>
      <c r="R32" s="3">
        <v>0.3</v>
      </c>
      <c r="S32" s="3">
        <v>0.3</v>
      </c>
      <c r="T32" s="3">
        <v>0.3</v>
      </c>
      <c r="U32" s="3">
        <v>0.3</v>
      </c>
      <c r="V32" s="3">
        <v>0.3</v>
      </c>
      <c r="W32" s="3">
        <v>0.3</v>
      </c>
      <c r="X32" s="3">
        <v>0.3</v>
      </c>
      <c r="Y32" s="3">
        <v>0.3</v>
      </c>
      <c r="Z32" s="3">
        <v>0.3</v>
      </c>
      <c r="AA32" s="3">
        <v>0.3</v>
      </c>
      <c r="AB32" s="3">
        <v>0.3</v>
      </c>
      <c r="AC32" s="3">
        <v>0.3</v>
      </c>
      <c r="AD32" s="3">
        <v>0.3</v>
      </c>
      <c r="AE32" s="3">
        <v>0.3</v>
      </c>
      <c r="AF32" s="3">
        <v>0.3</v>
      </c>
    </row>
    <row r="33" spans="1:32">
      <c r="A33">
        <v>2049</v>
      </c>
      <c r="B33" s="3">
        <v>0.3</v>
      </c>
      <c r="C33" s="3">
        <v>0.3</v>
      </c>
      <c r="D33" s="3">
        <v>0.3</v>
      </c>
      <c r="E33" s="3">
        <v>0.3</v>
      </c>
      <c r="F33" s="3">
        <v>0.3</v>
      </c>
      <c r="G33" s="3">
        <v>0.3</v>
      </c>
      <c r="H33" s="3">
        <v>0.3</v>
      </c>
      <c r="I33" s="3">
        <v>0.3</v>
      </c>
      <c r="J33" s="3">
        <v>0.3</v>
      </c>
      <c r="K33" s="3">
        <v>0.3</v>
      </c>
      <c r="L33" s="3">
        <v>0.3</v>
      </c>
      <c r="M33" s="3">
        <v>0.3</v>
      </c>
      <c r="N33" s="3">
        <v>0.3</v>
      </c>
      <c r="O33" s="3">
        <v>0.3</v>
      </c>
      <c r="P33" s="3">
        <v>0.3</v>
      </c>
      <c r="Q33" s="3">
        <v>0.3</v>
      </c>
      <c r="R33" s="3">
        <v>0.3</v>
      </c>
      <c r="S33" s="3">
        <v>0.3</v>
      </c>
      <c r="T33" s="3">
        <v>0.3</v>
      </c>
      <c r="U33" s="3">
        <v>0.3</v>
      </c>
      <c r="V33" s="3">
        <v>0.3</v>
      </c>
      <c r="W33" s="3">
        <v>0.3</v>
      </c>
      <c r="X33" s="3">
        <v>0.3</v>
      </c>
      <c r="Y33" s="3">
        <v>0.3</v>
      </c>
      <c r="Z33" s="3">
        <v>0.3</v>
      </c>
      <c r="AA33" s="3">
        <v>0.3</v>
      </c>
      <c r="AB33" s="3">
        <v>0.3</v>
      </c>
      <c r="AC33" s="3">
        <v>0.3</v>
      </c>
      <c r="AD33" s="3">
        <v>0.3</v>
      </c>
      <c r="AE33" s="3">
        <v>0.3</v>
      </c>
      <c r="AF33" s="3">
        <v>0.3</v>
      </c>
    </row>
    <row r="34" spans="1:32">
      <c r="A34">
        <v>2050</v>
      </c>
      <c r="B34" s="3">
        <v>0.3</v>
      </c>
      <c r="C34" s="3">
        <v>0.3</v>
      </c>
      <c r="D34" s="3">
        <v>0.3</v>
      </c>
      <c r="E34" s="3">
        <v>0.3</v>
      </c>
      <c r="F34" s="3">
        <v>0.3</v>
      </c>
      <c r="G34" s="3">
        <v>0.3</v>
      </c>
      <c r="H34" s="3">
        <v>0.3</v>
      </c>
      <c r="I34" s="3">
        <v>0.3</v>
      </c>
      <c r="J34" s="3">
        <v>0.3</v>
      </c>
      <c r="K34" s="3">
        <v>0.3</v>
      </c>
      <c r="L34" s="3">
        <v>0.3</v>
      </c>
      <c r="M34" s="3">
        <v>0.3</v>
      </c>
      <c r="N34" s="3">
        <v>0.3</v>
      </c>
      <c r="O34" s="3">
        <v>0.3</v>
      </c>
      <c r="P34" s="3">
        <v>0.3</v>
      </c>
      <c r="Q34" s="3">
        <v>0.3</v>
      </c>
      <c r="R34" s="3">
        <v>0.3</v>
      </c>
      <c r="S34" s="3">
        <v>0.3</v>
      </c>
      <c r="T34" s="3">
        <v>0.3</v>
      </c>
      <c r="U34" s="3">
        <v>0.3</v>
      </c>
      <c r="V34" s="3">
        <v>0.3</v>
      </c>
      <c r="W34" s="3">
        <v>0.3</v>
      </c>
      <c r="X34" s="3">
        <v>0.3</v>
      </c>
      <c r="Y34" s="3">
        <v>0.3</v>
      </c>
      <c r="Z34" s="3">
        <v>0.3</v>
      </c>
      <c r="AA34" s="3">
        <v>0.3</v>
      </c>
      <c r="AB34" s="3">
        <v>0.3</v>
      </c>
      <c r="AC34" s="3">
        <v>0.3</v>
      </c>
      <c r="AD34" s="3">
        <v>0.3</v>
      </c>
      <c r="AE34" s="3">
        <v>0.3</v>
      </c>
      <c r="AF34" s="3">
        <v>0.3</v>
      </c>
    </row>
    <row r="35" spans="1:32">
      <c r="A35">
        <v>2051</v>
      </c>
      <c r="B35" s="3">
        <v>0.3</v>
      </c>
      <c r="C35" s="3">
        <v>0.3</v>
      </c>
      <c r="D35" s="3">
        <v>0.3</v>
      </c>
      <c r="E35" s="3">
        <v>0.3</v>
      </c>
      <c r="F35" s="3">
        <v>0.3</v>
      </c>
      <c r="G35" s="3">
        <v>0.3</v>
      </c>
      <c r="H35" s="3">
        <v>0.3</v>
      </c>
      <c r="I35" s="3">
        <v>0.3</v>
      </c>
      <c r="J35" s="3">
        <v>0.3</v>
      </c>
      <c r="K35" s="3">
        <v>0.3</v>
      </c>
      <c r="L35" s="3">
        <v>0.3</v>
      </c>
      <c r="M35" s="3">
        <v>0.3</v>
      </c>
      <c r="N35" s="3">
        <v>0.3</v>
      </c>
      <c r="O35" s="3">
        <v>0.3</v>
      </c>
      <c r="P35" s="3">
        <v>0.3</v>
      </c>
      <c r="Q35" s="3">
        <v>0.3</v>
      </c>
      <c r="R35" s="3">
        <v>0.3</v>
      </c>
      <c r="S35" s="3">
        <v>0.3</v>
      </c>
      <c r="T35" s="3">
        <v>0.3</v>
      </c>
      <c r="U35" s="3">
        <v>0.3</v>
      </c>
      <c r="V35" s="3">
        <v>0.3</v>
      </c>
      <c r="W35" s="3">
        <v>0.3</v>
      </c>
      <c r="X35" s="3">
        <v>0.3</v>
      </c>
      <c r="Y35" s="3">
        <v>0.3</v>
      </c>
      <c r="Z35" s="3">
        <v>0.3</v>
      </c>
      <c r="AA35" s="3">
        <v>0.3</v>
      </c>
      <c r="AB35" s="3">
        <v>0.3</v>
      </c>
      <c r="AC35" s="3">
        <v>0.3</v>
      </c>
      <c r="AD35" s="3">
        <v>0.3</v>
      </c>
      <c r="AE35" s="3">
        <v>0.3</v>
      </c>
      <c r="AF35" s="3">
        <v>0.3</v>
      </c>
    </row>
    <row r="36" spans="1:32">
      <c r="A36">
        <v>2052</v>
      </c>
      <c r="B36" s="3">
        <v>0.3</v>
      </c>
      <c r="C36" s="3">
        <v>0.3</v>
      </c>
      <c r="D36" s="3">
        <v>0.3</v>
      </c>
      <c r="E36" s="3">
        <v>0.3</v>
      </c>
      <c r="F36" s="3">
        <v>0.3</v>
      </c>
      <c r="G36" s="3">
        <v>0.3</v>
      </c>
      <c r="H36" s="3">
        <v>0.3</v>
      </c>
      <c r="I36" s="3">
        <v>0.3</v>
      </c>
      <c r="J36" s="3">
        <v>0.3</v>
      </c>
      <c r="K36" s="3">
        <v>0.3</v>
      </c>
      <c r="L36" s="3">
        <v>0.3</v>
      </c>
      <c r="M36" s="3">
        <v>0.3</v>
      </c>
      <c r="N36" s="3">
        <v>0.3</v>
      </c>
      <c r="O36" s="3">
        <v>0.3</v>
      </c>
      <c r="P36" s="3">
        <v>0.3</v>
      </c>
      <c r="Q36" s="3">
        <v>0.3</v>
      </c>
      <c r="R36" s="3">
        <v>0.3</v>
      </c>
      <c r="S36" s="3">
        <v>0.3</v>
      </c>
      <c r="T36" s="3">
        <v>0.3</v>
      </c>
      <c r="U36" s="3">
        <v>0.3</v>
      </c>
      <c r="V36" s="3">
        <v>0.3</v>
      </c>
      <c r="W36" s="3">
        <v>0.3</v>
      </c>
      <c r="X36" s="3">
        <v>0.3</v>
      </c>
      <c r="Y36" s="3">
        <v>0.3</v>
      </c>
      <c r="Z36" s="3">
        <v>0.3</v>
      </c>
      <c r="AA36" s="3">
        <v>0.3</v>
      </c>
      <c r="AB36" s="3">
        <v>0.3</v>
      </c>
      <c r="AC36" s="3">
        <v>0.3</v>
      </c>
      <c r="AD36" s="3">
        <v>0.3</v>
      </c>
      <c r="AE36" s="3">
        <v>0.3</v>
      </c>
      <c r="AF36" s="3">
        <v>0.3</v>
      </c>
    </row>
    <row r="37" spans="1:32">
      <c r="A37">
        <v>2053</v>
      </c>
      <c r="B37" s="3">
        <v>0.3</v>
      </c>
      <c r="C37" s="3">
        <v>0.3</v>
      </c>
      <c r="D37" s="3">
        <v>0.3</v>
      </c>
      <c r="E37" s="3">
        <v>0.3</v>
      </c>
      <c r="F37" s="3">
        <v>0.3</v>
      </c>
      <c r="G37" s="3">
        <v>0.3</v>
      </c>
      <c r="H37" s="3">
        <v>0.3</v>
      </c>
      <c r="I37" s="3">
        <v>0.3</v>
      </c>
      <c r="J37" s="3">
        <v>0.3</v>
      </c>
      <c r="K37" s="3">
        <v>0.3</v>
      </c>
      <c r="L37" s="3">
        <v>0.3</v>
      </c>
      <c r="M37" s="3">
        <v>0.3</v>
      </c>
      <c r="N37" s="3">
        <v>0.3</v>
      </c>
      <c r="O37" s="3">
        <v>0.3</v>
      </c>
      <c r="P37" s="3">
        <v>0.3</v>
      </c>
      <c r="Q37" s="3">
        <v>0.3</v>
      </c>
      <c r="R37" s="3">
        <v>0.3</v>
      </c>
      <c r="S37" s="3">
        <v>0.3</v>
      </c>
      <c r="T37" s="3">
        <v>0.3</v>
      </c>
      <c r="U37" s="3">
        <v>0.3</v>
      </c>
      <c r="V37" s="3">
        <v>0.3</v>
      </c>
      <c r="W37" s="3">
        <v>0.3</v>
      </c>
      <c r="X37" s="3">
        <v>0.3</v>
      </c>
      <c r="Y37" s="3">
        <v>0.3</v>
      </c>
      <c r="Z37" s="3">
        <v>0.3</v>
      </c>
      <c r="AA37" s="3">
        <v>0.3</v>
      </c>
      <c r="AB37" s="3">
        <v>0.3</v>
      </c>
      <c r="AC37" s="3">
        <v>0.3</v>
      </c>
      <c r="AD37" s="3">
        <v>0.3</v>
      </c>
      <c r="AE37" s="3">
        <v>0.3</v>
      </c>
      <c r="AF37" s="3">
        <v>0.3</v>
      </c>
    </row>
    <row r="38" spans="1:32">
      <c r="A38">
        <v>2054</v>
      </c>
      <c r="B38" s="3">
        <v>0.3</v>
      </c>
      <c r="C38" s="3">
        <v>0.3</v>
      </c>
      <c r="D38" s="3">
        <v>0.3</v>
      </c>
      <c r="E38" s="3">
        <v>0.3</v>
      </c>
      <c r="F38" s="3">
        <v>0.3</v>
      </c>
      <c r="G38" s="3">
        <v>0.3</v>
      </c>
      <c r="H38" s="3">
        <v>0.3</v>
      </c>
      <c r="I38" s="3">
        <v>0.3</v>
      </c>
      <c r="J38" s="3">
        <v>0.3</v>
      </c>
      <c r="K38" s="3">
        <v>0.3</v>
      </c>
      <c r="L38" s="3">
        <v>0.3</v>
      </c>
      <c r="M38" s="3">
        <v>0.3</v>
      </c>
      <c r="N38" s="3">
        <v>0.3</v>
      </c>
      <c r="O38" s="3">
        <v>0.3</v>
      </c>
      <c r="P38" s="3">
        <v>0.3</v>
      </c>
      <c r="Q38" s="3">
        <v>0.3</v>
      </c>
      <c r="R38" s="3">
        <v>0.3</v>
      </c>
      <c r="S38" s="3">
        <v>0.3</v>
      </c>
      <c r="T38" s="3">
        <v>0.3</v>
      </c>
      <c r="U38" s="3">
        <v>0.3</v>
      </c>
      <c r="V38" s="3">
        <v>0.3</v>
      </c>
      <c r="W38" s="3">
        <v>0.3</v>
      </c>
      <c r="X38" s="3">
        <v>0.3</v>
      </c>
      <c r="Y38" s="3">
        <v>0.3</v>
      </c>
      <c r="Z38" s="3">
        <v>0.3</v>
      </c>
      <c r="AA38" s="3">
        <v>0.3</v>
      </c>
      <c r="AB38" s="3">
        <v>0.3</v>
      </c>
      <c r="AC38" s="3">
        <v>0.3</v>
      </c>
      <c r="AD38" s="3">
        <v>0.3</v>
      </c>
      <c r="AE38" s="3">
        <v>0.3</v>
      </c>
      <c r="AF38" s="3">
        <v>0.3</v>
      </c>
    </row>
    <row r="39" spans="1:32">
      <c r="A39">
        <v>2055</v>
      </c>
      <c r="B39" s="3">
        <v>0.3</v>
      </c>
      <c r="C39" s="3">
        <v>0.3</v>
      </c>
      <c r="D39" s="3">
        <v>0.3</v>
      </c>
      <c r="E39" s="3">
        <v>0.3</v>
      </c>
      <c r="F39" s="3">
        <v>0.3</v>
      </c>
      <c r="G39" s="3">
        <v>0.3</v>
      </c>
      <c r="H39" s="3">
        <v>0.3</v>
      </c>
      <c r="I39" s="3">
        <v>0.3</v>
      </c>
      <c r="J39" s="3">
        <v>0.3</v>
      </c>
      <c r="K39" s="3">
        <v>0.3</v>
      </c>
      <c r="L39" s="3">
        <v>0.3</v>
      </c>
      <c r="M39" s="3">
        <v>0.3</v>
      </c>
      <c r="N39" s="3">
        <v>0.3</v>
      </c>
      <c r="O39" s="3">
        <v>0.3</v>
      </c>
      <c r="P39" s="3">
        <v>0.3</v>
      </c>
      <c r="Q39" s="3">
        <v>0.3</v>
      </c>
      <c r="R39" s="3">
        <v>0.3</v>
      </c>
      <c r="S39" s="3">
        <v>0.3</v>
      </c>
      <c r="T39" s="3">
        <v>0.3</v>
      </c>
      <c r="U39" s="3">
        <v>0.3</v>
      </c>
      <c r="V39" s="3">
        <v>0.3</v>
      </c>
      <c r="W39" s="3">
        <v>0.3</v>
      </c>
      <c r="X39" s="3">
        <v>0.3</v>
      </c>
      <c r="Y39" s="3">
        <v>0.3</v>
      </c>
      <c r="Z39" s="3">
        <v>0.3</v>
      </c>
      <c r="AA39" s="3">
        <v>0.3</v>
      </c>
      <c r="AB39" s="3">
        <v>0.3</v>
      </c>
      <c r="AC39" s="3">
        <v>0.3</v>
      </c>
      <c r="AD39" s="3">
        <v>0.3</v>
      </c>
      <c r="AE39" s="3">
        <v>0.3</v>
      </c>
      <c r="AF39" s="3">
        <v>0.3</v>
      </c>
    </row>
    <row r="40" spans="1:32">
      <c r="A40">
        <v>2056</v>
      </c>
      <c r="B40" s="3">
        <v>0.3</v>
      </c>
      <c r="C40" s="3">
        <v>0.3</v>
      </c>
      <c r="D40" s="3">
        <v>0.3</v>
      </c>
      <c r="E40" s="3">
        <v>0.3</v>
      </c>
      <c r="F40" s="3">
        <v>0.3</v>
      </c>
      <c r="G40" s="3">
        <v>0.3</v>
      </c>
      <c r="H40" s="3">
        <v>0.3</v>
      </c>
      <c r="I40" s="3">
        <v>0.3</v>
      </c>
      <c r="J40" s="3">
        <v>0.3</v>
      </c>
      <c r="K40" s="3">
        <v>0.3</v>
      </c>
      <c r="L40" s="3">
        <v>0.3</v>
      </c>
      <c r="M40" s="3">
        <v>0.3</v>
      </c>
      <c r="N40" s="3">
        <v>0.3</v>
      </c>
      <c r="O40" s="3">
        <v>0.3</v>
      </c>
      <c r="P40" s="3">
        <v>0.3</v>
      </c>
      <c r="Q40" s="3">
        <v>0.3</v>
      </c>
      <c r="R40" s="3">
        <v>0.3</v>
      </c>
      <c r="S40" s="3">
        <v>0.3</v>
      </c>
      <c r="T40" s="3">
        <v>0.3</v>
      </c>
      <c r="U40" s="3">
        <v>0.3</v>
      </c>
      <c r="V40" s="3">
        <v>0.3</v>
      </c>
      <c r="W40" s="3">
        <v>0.3</v>
      </c>
      <c r="X40" s="3">
        <v>0.3</v>
      </c>
      <c r="Y40" s="3">
        <v>0.3</v>
      </c>
      <c r="Z40" s="3">
        <v>0.3</v>
      </c>
      <c r="AA40" s="3">
        <v>0.3</v>
      </c>
      <c r="AB40" s="3">
        <v>0.3</v>
      </c>
      <c r="AC40" s="3">
        <v>0.3</v>
      </c>
      <c r="AD40" s="3">
        <v>0.3</v>
      </c>
      <c r="AE40" s="3">
        <v>0.3</v>
      </c>
      <c r="AF40" s="3">
        <v>0.3</v>
      </c>
    </row>
    <row r="41" spans="1:32">
      <c r="A41">
        <v>2057</v>
      </c>
      <c r="B41" s="3">
        <v>0.3</v>
      </c>
      <c r="C41" s="3">
        <v>0.3</v>
      </c>
      <c r="D41" s="3">
        <v>0.3</v>
      </c>
      <c r="E41" s="3">
        <v>0.3</v>
      </c>
      <c r="F41" s="3">
        <v>0.3</v>
      </c>
      <c r="G41" s="3">
        <v>0.3</v>
      </c>
      <c r="H41" s="3">
        <v>0.3</v>
      </c>
      <c r="I41" s="3">
        <v>0.3</v>
      </c>
      <c r="J41" s="3">
        <v>0.3</v>
      </c>
      <c r="K41" s="3">
        <v>0.3</v>
      </c>
      <c r="L41" s="3">
        <v>0.3</v>
      </c>
      <c r="M41" s="3">
        <v>0.3</v>
      </c>
      <c r="N41" s="3">
        <v>0.3</v>
      </c>
      <c r="O41" s="3">
        <v>0.3</v>
      </c>
      <c r="P41" s="3">
        <v>0.3</v>
      </c>
      <c r="Q41" s="3">
        <v>0.3</v>
      </c>
      <c r="R41" s="3">
        <v>0.3</v>
      </c>
      <c r="S41" s="3">
        <v>0.3</v>
      </c>
      <c r="T41" s="3">
        <v>0.3</v>
      </c>
      <c r="U41" s="3">
        <v>0.3</v>
      </c>
      <c r="V41" s="3">
        <v>0.3</v>
      </c>
      <c r="W41" s="3">
        <v>0.3</v>
      </c>
      <c r="X41" s="3">
        <v>0.3</v>
      </c>
      <c r="Y41" s="3">
        <v>0.3</v>
      </c>
      <c r="Z41" s="3">
        <v>0.3</v>
      </c>
      <c r="AA41" s="3">
        <v>0.3</v>
      </c>
      <c r="AB41" s="3">
        <v>0.3</v>
      </c>
      <c r="AC41" s="3">
        <v>0.3</v>
      </c>
      <c r="AD41" s="3">
        <v>0.3</v>
      </c>
      <c r="AE41" s="3">
        <v>0.3</v>
      </c>
      <c r="AF41" s="3">
        <v>0.3</v>
      </c>
    </row>
    <row r="42" spans="1:32">
      <c r="A42">
        <v>2058</v>
      </c>
      <c r="B42" s="3">
        <v>0.3</v>
      </c>
      <c r="C42" s="3">
        <v>0.3</v>
      </c>
      <c r="D42" s="3">
        <v>0.3</v>
      </c>
      <c r="E42" s="3">
        <v>0.3</v>
      </c>
      <c r="F42" s="3">
        <v>0.3</v>
      </c>
      <c r="G42" s="3">
        <v>0.3</v>
      </c>
      <c r="H42" s="3">
        <v>0.3</v>
      </c>
      <c r="I42" s="3">
        <v>0.3</v>
      </c>
      <c r="J42" s="3">
        <v>0.3</v>
      </c>
      <c r="K42" s="3">
        <v>0.3</v>
      </c>
      <c r="L42" s="3">
        <v>0.3</v>
      </c>
      <c r="M42" s="3">
        <v>0.3</v>
      </c>
      <c r="N42" s="3">
        <v>0.3</v>
      </c>
      <c r="O42" s="3">
        <v>0.3</v>
      </c>
      <c r="P42" s="3">
        <v>0.3</v>
      </c>
      <c r="Q42" s="3">
        <v>0.3</v>
      </c>
      <c r="R42" s="3">
        <v>0.3</v>
      </c>
      <c r="S42" s="3">
        <v>0.3</v>
      </c>
      <c r="T42" s="3">
        <v>0.3</v>
      </c>
      <c r="U42" s="3">
        <v>0.3</v>
      </c>
      <c r="V42" s="3">
        <v>0.3</v>
      </c>
      <c r="W42" s="3">
        <v>0.3</v>
      </c>
      <c r="X42" s="3">
        <v>0.3</v>
      </c>
      <c r="Y42" s="3">
        <v>0.3</v>
      </c>
      <c r="Z42" s="3">
        <v>0.3</v>
      </c>
      <c r="AA42" s="3">
        <v>0.3</v>
      </c>
      <c r="AB42" s="3">
        <v>0.3</v>
      </c>
      <c r="AC42" s="3">
        <v>0.3</v>
      </c>
      <c r="AD42" s="3">
        <v>0.3</v>
      </c>
      <c r="AE42" s="3">
        <v>0.3</v>
      </c>
      <c r="AF42" s="3">
        <v>0.3</v>
      </c>
    </row>
    <row r="43" spans="1:32">
      <c r="A43">
        <v>2059</v>
      </c>
      <c r="B43" s="3">
        <v>0.3</v>
      </c>
      <c r="C43" s="3">
        <v>0.3</v>
      </c>
      <c r="D43" s="3">
        <v>0.3</v>
      </c>
      <c r="E43" s="3">
        <v>0.3</v>
      </c>
      <c r="F43" s="3">
        <v>0.3</v>
      </c>
      <c r="G43" s="3">
        <v>0.3</v>
      </c>
      <c r="H43" s="3">
        <v>0.3</v>
      </c>
      <c r="I43" s="3">
        <v>0.3</v>
      </c>
      <c r="J43" s="3">
        <v>0.3</v>
      </c>
      <c r="K43" s="3">
        <v>0.3</v>
      </c>
      <c r="L43" s="3">
        <v>0.3</v>
      </c>
      <c r="M43" s="3">
        <v>0.3</v>
      </c>
      <c r="N43" s="3">
        <v>0.3</v>
      </c>
      <c r="O43" s="3">
        <v>0.3</v>
      </c>
      <c r="P43" s="3">
        <v>0.3</v>
      </c>
      <c r="Q43" s="3">
        <v>0.3</v>
      </c>
      <c r="R43" s="3">
        <v>0.3</v>
      </c>
      <c r="S43" s="3">
        <v>0.3</v>
      </c>
      <c r="T43" s="3">
        <v>0.3</v>
      </c>
      <c r="U43" s="3">
        <v>0.3</v>
      </c>
      <c r="V43" s="3">
        <v>0.3</v>
      </c>
      <c r="W43" s="3">
        <v>0.3</v>
      </c>
      <c r="X43" s="3">
        <v>0.3</v>
      </c>
      <c r="Y43" s="3">
        <v>0.3</v>
      </c>
      <c r="Z43" s="3">
        <v>0.3</v>
      </c>
      <c r="AA43" s="3">
        <v>0.3</v>
      </c>
      <c r="AB43" s="3">
        <v>0.3</v>
      </c>
      <c r="AC43" s="3">
        <v>0.3</v>
      </c>
      <c r="AD43" s="3">
        <v>0.3</v>
      </c>
      <c r="AE43" s="3">
        <v>0.3</v>
      </c>
      <c r="AF43" s="3">
        <v>0.3</v>
      </c>
    </row>
    <row r="44" spans="1:32">
      <c r="A44">
        <v>2060</v>
      </c>
      <c r="B44" s="3">
        <v>0.3</v>
      </c>
      <c r="C44" s="3">
        <v>0.3</v>
      </c>
      <c r="D44" s="3">
        <v>0.3</v>
      </c>
      <c r="E44" s="3">
        <v>0.3</v>
      </c>
      <c r="F44" s="3">
        <v>0.3</v>
      </c>
      <c r="G44" s="3">
        <v>0.3</v>
      </c>
      <c r="H44" s="3">
        <v>0.3</v>
      </c>
      <c r="I44" s="3">
        <v>0.3</v>
      </c>
      <c r="J44" s="3">
        <v>0.3</v>
      </c>
      <c r="K44" s="3">
        <v>0.3</v>
      </c>
      <c r="L44" s="3">
        <v>0.3</v>
      </c>
      <c r="M44" s="3">
        <v>0.3</v>
      </c>
      <c r="N44" s="3">
        <v>0.3</v>
      </c>
      <c r="O44" s="3">
        <v>0.3</v>
      </c>
      <c r="P44" s="3">
        <v>0.3</v>
      </c>
      <c r="Q44" s="3">
        <v>0.3</v>
      </c>
      <c r="R44" s="3">
        <v>0.3</v>
      </c>
      <c r="S44" s="3">
        <v>0.3</v>
      </c>
      <c r="T44" s="3">
        <v>0.3</v>
      </c>
      <c r="U44" s="3">
        <v>0.3</v>
      </c>
      <c r="V44" s="3">
        <v>0.3</v>
      </c>
      <c r="W44" s="3">
        <v>0.3</v>
      </c>
      <c r="X44" s="3">
        <v>0.3</v>
      </c>
      <c r="Y44" s="3">
        <v>0.3</v>
      </c>
      <c r="Z44" s="3">
        <v>0.3</v>
      </c>
      <c r="AA44" s="3">
        <v>0.3</v>
      </c>
      <c r="AB44" s="3">
        <v>0.3</v>
      </c>
      <c r="AC44" s="3">
        <v>0.3</v>
      </c>
      <c r="AD44" s="3">
        <v>0.3</v>
      </c>
      <c r="AE44" s="3">
        <v>0.3</v>
      </c>
      <c r="AF44" s="3">
        <v>0.3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44"/>
  <sheetViews>
    <sheetView workbookViewId="0">
      <selection activeCell="R19" sqref="R19"/>
    </sheetView>
  </sheetViews>
  <sheetFormatPr defaultRowHeight="15.6"/>
  <cols>
    <col min="4" max="4" width="13" style="2" hidden="1" customWidth="1"/>
    <col min="16" max="17" width="13" style="2" hidden="1" customWidth="1"/>
  </cols>
  <sheetData>
    <row r="1" spans="1:22">
      <c r="A1">
        <v>0</v>
      </c>
      <c r="B1" t="s">
        <v>31</v>
      </c>
      <c r="C1" t="s">
        <v>32</v>
      </c>
      <c r="D1" t="s">
        <v>33</v>
      </c>
      <c r="E1" t="s">
        <v>34</v>
      </c>
      <c r="F1" t="s">
        <v>36</v>
      </c>
      <c r="G1" t="s">
        <v>37</v>
      </c>
      <c r="H1" t="s">
        <v>38</v>
      </c>
      <c r="I1" t="s">
        <v>41</v>
      </c>
      <c r="J1" t="s">
        <v>42</v>
      </c>
      <c r="K1" t="s">
        <v>40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</row>
    <row r="2" spans="1:22">
      <c r="A2">
        <v>2018</v>
      </c>
      <c r="B2">
        <v>0</v>
      </c>
      <c r="C2">
        <v>10</v>
      </c>
      <c r="D2">
        <v>0</v>
      </c>
      <c r="E2">
        <v>40</v>
      </c>
      <c r="F2">
        <v>40</v>
      </c>
      <c r="G2">
        <v>40</v>
      </c>
      <c r="H2">
        <v>40</v>
      </c>
      <c r="I2">
        <v>40</v>
      </c>
      <c r="J2">
        <v>40</v>
      </c>
      <c r="K2">
        <v>0</v>
      </c>
      <c r="L2">
        <v>0</v>
      </c>
      <c r="M2">
        <v>0</v>
      </c>
      <c r="N2">
        <v>54</v>
      </c>
      <c r="O2">
        <v>54</v>
      </c>
      <c r="P2">
        <v>54</v>
      </c>
      <c r="Q2">
        <v>54</v>
      </c>
      <c r="R2">
        <v>54</v>
      </c>
      <c r="T2" s="5" t="s">
        <v>58</v>
      </c>
    </row>
    <row r="3" spans="1:22">
      <c r="A3">
        <v>2019</v>
      </c>
      <c r="B3">
        <v>0</v>
      </c>
      <c r="C3">
        <v>10</v>
      </c>
      <c r="D3">
        <v>0</v>
      </c>
      <c r="E3">
        <v>39</v>
      </c>
      <c r="F3">
        <v>39</v>
      </c>
      <c r="G3">
        <v>39</v>
      </c>
      <c r="H3">
        <v>39</v>
      </c>
      <c r="I3">
        <v>39</v>
      </c>
      <c r="J3">
        <v>39</v>
      </c>
      <c r="K3">
        <v>0</v>
      </c>
      <c r="L3">
        <v>0</v>
      </c>
      <c r="M3">
        <v>0</v>
      </c>
      <c r="N3">
        <v>53</v>
      </c>
      <c r="O3">
        <v>53</v>
      </c>
      <c r="P3">
        <v>52</v>
      </c>
      <c r="Q3">
        <v>52</v>
      </c>
      <c r="R3">
        <v>53</v>
      </c>
      <c r="T3" s="5" t="s">
        <v>80</v>
      </c>
    </row>
    <row r="4" spans="1:22">
      <c r="A4">
        <v>2020</v>
      </c>
      <c r="B4">
        <v>0</v>
      </c>
      <c r="C4">
        <v>10</v>
      </c>
      <c r="D4">
        <v>0</v>
      </c>
      <c r="E4">
        <v>38</v>
      </c>
      <c r="F4">
        <v>38</v>
      </c>
      <c r="G4">
        <v>38</v>
      </c>
      <c r="H4">
        <v>38</v>
      </c>
      <c r="I4">
        <v>38</v>
      </c>
      <c r="J4">
        <v>38</v>
      </c>
      <c r="K4">
        <v>0</v>
      </c>
      <c r="L4">
        <v>0</v>
      </c>
      <c r="M4">
        <v>0</v>
      </c>
      <c r="N4">
        <v>52</v>
      </c>
      <c r="O4">
        <v>52</v>
      </c>
      <c r="P4">
        <v>50</v>
      </c>
      <c r="Q4">
        <v>50</v>
      </c>
      <c r="R4">
        <v>52</v>
      </c>
    </row>
    <row r="5" spans="1:22">
      <c r="A5">
        <v>2021</v>
      </c>
      <c r="B5">
        <v>0</v>
      </c>
      <c r="C5">
        <v>10</v>
      </c>
      <c r="D5">
        <v>0</v>
      </c>
      <c r="E5">
        <v>37</v>
      </c>
      <c r="F5">
        <v>37</v>
      </c>
      <c r="G5">
        <v>37</v>
      </c>
      <c r="H5">
        <v>37</v>
      </c>
      <c r="I5">
        <v>37</v>
      </c>
      <c r="J5">
        <v>37</v>
      </c>
      <c r="K5">
        <v>0</v>
      </c>
      <c r="L5">
        <v>0</v>
      </c>
      <c r="M5">
        <v>0</v>
      </c>
      <c r="N5">
        <v>51</v>
      </c>
      <c r="O5">
        <v>51</v>
      </c>
      <c r="P5">
        <v>48</v>
      </c>
      <c r="Q5">
        <v>48</v>
      </c>
      <c r="R5">
        <v>51</v>
      </c>
    </row>
    <row r="6" spans="1:22">
      <c r="A6">
        <v>2022</v>
      </c>
      <c r="B6">
        <v>0</v>
      </c>
      <c r="C6">
        <v>10</v>
      </c>
      <c r="D6">
        <v>0</v>
      </c>
      <c r="E6">
        <v>36</v>
      </c>
      <c r="F6">
        <v>36</v>
      </c>
      <c r="G6">
        <v>36</v>
      </c>
      <c r="H6">
        <v>36</v>
      </c>
      <c r="I6">
        <v>36</v>
      </c>
      <c r="J6">
        <v>36</v>
      </c>
      <c r="K6">
        <v>0</v>
      </c>
      <c r="L6">
        <v>0</v>
      </c>
      <c r="M6">
        <v>0</v>
      </c>
      <c r="N6">
        <v>50</v>
      </c>
      <c r="O6">
        <v>50</v>
      </c>
      <c r="P6">
        <v>46</v>
      </c>
      <c r="Q6">
        <v>46</v>
      </c>
      <c r="R6">
        <v>50</v>
      </c>
    </row>
    <row r="7" spans="1:22">
      <c r="A7">
        <v>2023</v>
      </c>
      <c r="B7">
        <v>0</v>
      </c>
      <c r="C7">
        <v>10</v>
      </c>
      <c r="D7">
        <v>0</v>
      </c>
      <c r="E7">
        <v>35</v>
      </c>
      <c r="F7">
        <v>35</v>
      </c>
      <c r="G7">
        <v>35</v>
      </c>
      <c r="H7">
        <v>35</v>
      </c>
      <c r="I7">
        <v>35</v>
      </c>
      <c r="J7">
        <v>35</v>
      </c>
      <c r="K7">
        <v>0</v>
      </c>
      <c r="L7">
        <v>0</v>
      </c>
      <c r="M7">
        <v>0</v>
      </c>
      <c r="N7">
        <v>49</v>
      </c>
      <c r="O7">
        <v>49</v>
      </c>
      <c r="P7">
        <v>44</v>
      </c>
      <c r="Q7">
        <v>44</v>
      </c>
      <c r="R7">
        <v>49</v>
      </c>
      <c r="V7" t="s">
        <v>59</v>
      </c>
    </row>
    <row r="8" spans="1:22">
      <c r="A8">
        <v>2024</v>
      </c>
      <c r="B8">
        <v>0</v>
      </c>
      <c r="C8">
        <v>10</v>
      </c>
      <c r="D8">
        <v>0</v>
      </c>
      <c r="E8">
        <v>34</v>
      </c>
      <c r="F8">
        <v>34</v>
      </c>
      <c r="G8">
        <v>34</v>
      </c>
      <c r="H8">
        <v>34</v>
      </c>
      <c r="I8">
        <v>34</v>
      </c>
      <c r="J8">
        <v>34</v>
      </c>
      <c r="K8">
        <v>0</v>
      </c>
      <c r="L8">
        <v>0</v>
      </c>
      <c r="M8">
        <v>0</v>
      </c>
      <c r="N8">
        <v>48</v>
      </c>
      <c r="O8">
        <v>48</v>
      </c>
      <c r="P8">
        <v>42</v>
      </c>
      <c r="Q8">
        <v>42</v>
      </c>
      <c r="R8">
        <v>48</v>
      </c>
      <c r="T8" t="s">
        <v>60</v>
      </c>
    </row>
    <row r="9" spans="1:22">
      <c r="A9">
        <v>2025</v>
      </c>
      <c r="B9">
        <v>0</v>
      </c>
      <c r="C9">
        <v>10</v>
      </c>
      <c r="D9">
        <v>0</v>
      </c>
      <c r="E9">
        <v>33</v>
      </c>
      <c r="F9">
        <v>33</v>
      </c>
      <c r="G9">
        <v>33</v>
      </c>
      <c r="H9">
        <v>33</v>
      </c>
      <c r="I9">
        <v>33</v>
      </c>
      <c r="J9">
        <v>33</v>
      </c>
      <c r="K9">
        <v>0</v>
      </c>
      <c r="L9">
        <v>0</v>
      </c>
      <c r="M9">
        <v>0</v>
      </c>
      <c r="N9">
        <v>47</v>
      </c>
      <c r="O9">
        <v>47</v>
      </c>
      <c r="P9">
        <v>40</v>
      </c>
      <c r="Q9">
        <v>40</v>
      </c>
      <c r="R9">
        <v>47</v>
      </c>
      <c r="T9" t="s">
        <v>87</v>
      </c>
    </row>
    <row r="10" spans="1:22">
      <c r="A10">
        <v>2026</v>
      </c>
      <c r="B10">
        <v>0</v>
      </c>
      <c r="C10">
        <v>10</v>
      </c>
      <c r="D10">
        <v>0</v>
      </c>
      <c r="E10">
        <v>32</v>
      </c>
      <c r="F10">
        <v>32</v>
      </c>
      <c r="G10">
        <v>32</v>
      </c>
      <c r="H10">
        <v>32</v>
      </c>
      <c r="I10">
        <v>32</v>
      </c>
      <c r="J10">
        <v>32</v>
      </c>
      <c r="K10">
        <v>0</v>
      </c>
      <c r="L10">
        <v>0</v>
      </c>
      <c r="M10">
        <v>0</v>
      </c>
      <c r="N10">
        <v>46</v>
      </c>
      <c r="O10">
        <v>44</v>
      </c>
      <c r="P10">
        <v>38</v>
      </c>
      <c r="Q10">
        <v>38</v>
      </c>
      <c r="R10">
        <v>46</v>
      </c>
    </row>
    <row r="11" spans="1:22">
      <c r="A11">
        <v>2027</v>
      </c>
      <c r="B11">
        <v>0</v>
      </c>
      <c r="C11">
        <v>10</v>
      </c>
      <c r="D11">
        <v>0</v>
      </c>
      <c r="E11">
        <v>31</v>
      </c>
      <c r="F11">
        <v>31</v>
      </c>
      <c r="G11">
        <v>31</v>
      </c>
      <c r="H11">
        <v>31</v>
      </c>
      <c r="I11">
        <v>31</v>
      </c>
      <c r="J11">
        <v>31</v>
      </c>
      <c r="K11">
        <v>0</v>
      </c>
      <c r="L11">
        <v>0</v>
      </c>
      <c r="M11">
        <v>0</v>
      </c>
      <c r="N11">
        <v>45</v>
      </c>
      <c r="O11">
        <v>41</v>
      </c>
      <c r="P11">
        <v>36</v>
      </c>
      <c r="Q11">
        <v>36</v>
      </c>
      <c r="R11">
        <v>45</v>
      </c>
      <c r="T11" t="s">
        <v>89</v>
      </c>
      <c r="U11" t="s">
        <v>88</v>
      </c>
    </row>
    <row r="12" spans="1:22">
      <c r="A12">
        <v>2028</v>
      </c>
      <c r="B12">
        <v>0</v>
      </c>
      <c r="C12">
        <v>10</v>
      </c>
      <c r="D12">
        <v>0</v>
      </c>
      <c r="E12">
        <v>30</v>
      </c>
      <c r="F12">
        <v>30</v>
      </c>
      <c r="G12">
        <v>30</v>
      </c>
      <c r="H12">
        <v>30</v>
      </c>
      <c r="I12">
        <v>30</v>
      </c>
      <c r="J12">
        <v>30</v>
      </c>
      <c r="K12">
        <v>0</v>
      </c>
      <c r="L12">
        <v>0</v>
      </c>
      <c r="M12">
        <v>0</v>
      </c>
      <c r="N12">
        <v>44</v>
      </c>
      <c r="O12">
        <v>38</v>
      </c>
      <c r="P12">
        <v>34</v>
      </c>
      <c r="Q12">
        <v>34</v>
      </c>
      <c r="R12">
        <v>44</v>
      </c>
      <c r="T12">
        <v>50</v>
      </c>
      <c r="U12">
        <v>30</v>
      </c>
    </row>
    <row r="13" spans="1:22" ht="16.8" customHeight="1">
      <c r="A13">
        <v>2029</v>
      </c>
      <c r="B13">
        <v>0</v>
      </c>
      <c r="C13">
        <v>10</v>
      </c>
      <c r="D13">
        <v>0</v>
      </c>
      <c r="E13">
        <v>29</v>
      </c>
      <c r="F13">
        <v>29</v>
      </c>
      <c r="G13">
        <v>29</v>
      </c>
      <c r="H13">
        <v>29</v>
      </c>
      <c r="I13">
        <v>29</v>
      </c>
      <c r="J13">
        <v>29</v>
      </c>
      <c r="K13">
        <v>0</v>
      </c>
      <c r="L13">
        <v>0</v>
      </c>
      <c r="M13">
        <v>0</v>
      </c>
      <c r="N13">
        <v>43</v>
      </c>
      <c r="O13">
        <v>35</v>
      </c>
      <c r="P13">
        <v>32</v>
      </c>
      <c r="Q13">
        <v>32</v>
      </c>
      <c r="R13">
        <v>43</v>
      </c>
      <c r="T13">
        <v>100</v>
      </c>
      <c r="U13">
        <v>20</v>
      </c>
    </row>
    <row r="14" spans="1:22" s="8" customFormat="1">
      <c r="A14" s="8">
        <v>2030</v>
      </c>
      <c r="B14" s="8">
        <v>0</v>
      </c>
      <c r="C14">
        <v>10</v>
      </c>
      <c r="D14" s="8">
        <v>0</v>
      </c>
      <c r="E14" s="8">
        <v>28</v>
      </c>
      <c r="F14" s="8">
        <v>28</v>
      </c>
      <c r="G14">
        <v>28</v>
      </c>
      <c r="H14" s="8">
        <v>28</v>
      </c>
      <c r="I14" s="8">
        <v>28</v>
      </c>
      <c r="J14" s="8">
        <v>28</v>
      </c>
      <c r="K14" s="8">
        <v>0</v>
      </c>
      <c r="L14" s="8">
        <v>0</v>
      </c>
      <c r="M14" s="8">
        <v>0</v>
      </c>
      <c r="N14">
        <v>42</v>
      </c>
      <c r="O14">
        <v>32</v>
      </c>
      <c r="P14" s="8">
        <v>30</v>
      </c>
      <c r="Q14" s="8">
        <v>30</v>
      </c>
      <c r="R14">
        <v>42</v>
      </c>
      <c r="T14">
        <v>150</v>
      </c>
      <c r="U14" s="8">
        <v>10</v>
      </c>
    </row>
    <row r="15" spans="1:22">
      <c r="A15">
        <v>2031</v>
      </c>
      <c r="B15">
        <v>0</v>
      </c>
      <c r="C15">
        <v>10</v>
      </c>
      <c r="D15">
        <v>0</v>
      </c>
      <c r="E15">
        <v>26</v>
      </c>
      <c r="F15">
        <v>26</v>
      </c>
      <c r="G15">
        <v>26</v>
      </c>
      <c r="H15">
        <v>26</v>
      </c>
      <c r="I15">
        <v>26</v>
      </c>
      <c r="J15">
        <v>26</v>
      </c>
      <c r="K15">
        <v>0</v>
      </c>
      <c r="L15">
        <v>0</v>
      </c>
      <c r="M15">
        <v>0</v>
      </c>
      <c r="N15">
        <v>40</v>
      </c>
      <c r="O15">
        <v>29</v>
      </c>
      <c r="P15">
        <v>28</v>
      </c>
      <c r="Q15">
        <v>28</v>
      </c>
      <c r="R15">
        <v>40</v>
      </c>
      <c r="T15">
        <v>200</v>
      </c>
      <c r="U15">
        <v>0</v>
      </c>
    </row>
    <row r="16" spans="1:22">
      <c r="A16">
        <v>2032</v>
      </c>
      <c r="B16">
        <v>0</v>
      </c>
      <c r="C16">
        <v>10</v>
      </c>
      <c r="D16">
        <v>0</v>
      </c>
      <c r="E16">
        <v>24</v>
      </c>
      <c r="F16">
        <v>24</v>
      </c>
      <c r="G16">
        <v>24</v>
      </c>
      <c r="H16">
        <v>24</v>
      </c>
      <c r="I16">
        <v>24</v>
      </c>
      <c r="J16">
        <v>24</v>
      </c>
      <c r="K16">
        <v>0</v>
      </c>
      <c r="L16">
        <v>0</v>
      </c>
      <c r="M16">
        <v>0</v>
      </c>
      <c r="N16">
        <v>38</v>
      </c>
      <c r="O16">
        <v>26</v>
      </c>
      <c r="P16">
        <v>26</v>
      </c>
      <c r="Q16">
        <v>26</v>
      </c>
      <c r="R16">
        <v>38</v>
      </c>
      <c r="T16">
        <v>250</v>
      </c>
      <c r="U16">
        <v>0</v>
      </c>
    </row>
    <row r="17" spans="1:21">
      <c r="A17">
        <v>2033</v>
      </c>
      <c r="B17">
        <v>0</v>
      </c>
      <c r="C17">
        <v>10</v>
      </c>
      <c r="D17">
        <v>0</v>
      </c>
      <c r="E17">
        <v>22</v>
      </c>
      <c r="F17">
        <v>22</v>
      </c>
      <c r="G17">
        <v>22</v>
      </c>
      <c r="H17">
        <v>22</v>
      </c>
      <c r="I17">
        <v>22</v>
      </c>
      <c r="J17">
        <v>22</v>
      </c>
      <c r="K17">
        <v>0</v>
      </c>
      <c r="L17">
        <v>0</v>
      </c>
      <c r="M17">
        <v>0</v>
      </c>
      <c r="N17">
        <v>36</v>
      </c>
      <c r="O17">
        <v>23</v>
      </c>
      <c r="P17">
        <v>24</v>
      </c>
      <c r="Q17">
        <v>24</v>
      </c>
      <c r="R17">
        <v>36</v>
      </c>
      <c r="T17">
        <v>300</v>
      </c>
      <c r="U17">
        <v>0</v>
      </c>
    </row>
    <row r="18" spans="1:21">
      <c r="A18">
        <v>2034</v>
      </c>
      <c r="B18">
        <v>0</v>
      </c>
      <c r="C18">
        <v>10</v>
      </c>
      <c r="D18">
        <v>0</v>
      </c>
      <c r="E18">
        <v>20</v>
      </c>
      <c r="F18">
        <v>20</v>
      </c>
      <c r="G18">
        <v>20</v>
      </c>
      <c r="H18">
        <v>20</v>
      </c>
      <c r="I18">
        <v>20</v>
      </c>
      <c r="J18">
        <v>20</v>
      </c>
      <c r="K18">
        <v>0</v>
      </c>
      <c r="L18">
        <v>0</v>
      </c>
      <c r="M18">
        <v>0</v>
      </c>
      <c r="N18">
        <v>34</v>
      </c>
      <c r="O18">
        <v>20</v>
      </c>
      <c r="P18">
        <v>22</v>
      </c>
      <c r="Q18">
        <v>22</v>
      </c>
      <c r="R18">
        <v>34</v>
      </c>
      <c r="T18">
        <v>350</v>
      </c>
      <c r="U18">
        <v>0</v>
      </c>
    </row>
    <row r="19" spans="1:21" s="8" customFormat="1">
      <c r="A19" s="8">
        <v>2035</v>
      </c>
      <c r="B19" s="8">
        <v>0</v>
      </c>
      <c r="C19">
        <v>10</v>
      </c>
      <c r="D19" s="8">
        <v>0</v>
      </c>
      <c r="E19" s="8">
        <v>18</v>
      </c>
      <c r="F19" s="8">
        <v>18</v>
      </c>
      <c r="G19" s="8">
        <v>18</v>
      </c>
      <c r="H19" s="8">
        <v>18</v>
      </c>
      <c r="I19" s="8">
        <v>18</v>
      </c>
      <c r="J19" s="8">
        <v>18</v>
      </c>
      <c r="K19" s="8">
        <v>0</v>
      </c>
      <c r="L19" s="8">
        <v>0</v>
      </c>
      <c r="M19" s="8">
        <v>0</v>
      </c>
      <c r="N19" s="8">
        <v>32</v>
      </c>
      <c r="O19" s="8">
        <v>17</v>
      </c>
      <c r="P19" s="8">
        <v>20</v>
      </c>
      <c r="Q19" s="8">
        <v>20</v>
      </c>
      <c r="R19" s="8">
        <v>32</v>
      </c>
    </row>
    <row r="20" spans="1:21">
      <c r="A20">
        <v>2036</v>
      </c>
      <c r="B20">
        <v>0</v>
      </c>
      <c r="C20">
        <v>10</v>
      </c>
      <c r="D20">
        <v>0</v>
      </c>
      <c r="E20">
        <v>16</v>
      </c>
      <c r="F20">
        <v>16</v>
      </c>
      <c r="G20">
        <v>16</v>
      </c>
      <c r="H20">
        <v>16</v>
      </c>
      <c r="I20">
        <v>16</v>
      </c>
      <c r="J20">
        <v>16</v>
      </c>
      <c r="K20">
        <v>0</v>
      </c>
      <c r="L20">
        <v>0</v>
      </c>
      <c r="M20">
        <v>0</v>
      </c>
      <c r="N20">
        <v>30</v>
      </c>
      <c r="O20">
        <v>14</v>
      </c>
      <c r="P20">
        <v>18</v>
      </c>
      <c r="Q20">
        <v>18</v>
      </c>
      <c r="R20">
        <v>30</v>
      </c>
    </row>
    <row r="21" spans="1:21">
      <c r="A21">
        <v>2037</v>
      </c>
      <c r="B21">
        <v>0</v>
      </c>
      <c r="C21">
        <v>10</v>
      </c>
      <c r="D21">
        <v>0</v>
      </c>
      <c r="E21">
        <v>14</v>
      </c>
      <c r="F21">
        <v>14</v>
      </c>
      <c r="G21">
        <v>14</v>
      </c>
      <c r="H21">
        <v>14</v>
      </c>
      <c r="I21">
        <v>14</v>
      </c>
      <c r="J21">
        <v>14</v>
      </c>
      <c r="K21">
        <v>0</v>
      </c>
      <c r="L21">
        <v>0</v>
      </c>
      <c r="M21">
        <v>0</v>
      </c>
      <c r="N21">
        <v>28</v>
      </c>
      <c r="O21">
        <v>11</v>
      </c>
      <c r="P21">
        <v>16</v>
      </c>
      <c r="Q21">
        <v>16</v>
      </c>
      <c r="R21">
        <v>28</v>
      </c>
    </row>
    <row r="22" spans="1:21">
      <c r="A22">
        <v>2038</v>
      </c>
      <c r="B22">
        <v>0</v>
      </c>
      <c r="C22">
        <v>10</v>
      </c>
      <c r="D22">
        <v>0</v>
      </c>
      <c r="E22">
        <v>12</v>
      </c>
      <c r="F22">
        <v>12</v>
      </c>
      <c r="G22">
        <v>12</v>
      </c>
      <c r="H22">
        <v>12</v>
      </c>
      <c r="I22">
        <v>12</v>
      </c>
      <c r="J22">
        <v>12</v>
      </c>
      <c r="K22">
        <v>0</v>
      </c>
      <c r="L22">
        <v>0</v>
      </c>
      <c r="M22">
        <v>0</v>
      </c>
      <c r="N22">
        <v>26</v>
      </c>
      <c r="O22">
        <v>8</v>
      </c>
      <c r="P22">
        <v>14</v>
      </c>
      <c r="Q22">
        <v>14</v>
      </c>
      <c r="R22">
        <v>26</v>
      </c>
    </row>
    <row r="23" spans="1:21">
      <c r="A23">
        <v>2039</v>
      </c>
      <c r="B23">
        <v>0</v>
      </c>
      <c r="C23">
        <v>10</v>
      </c>
      <c r="D23">
        <v>0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0</v>
      </c>
      <c r="L23">
        <v>0</v>
      </c>
      <c r="M23">
        <v>0</v>
      </c>
      <c r="N23">
        <v>24</v>
      </c>
      <c r="O23">
        <v>5</v>
      </c>
      <c r="P23">
        <v>12</v>
      </c>
      <c r="Q23">
        <v>12</v>
      </c>
      <c r="R23">
        <v>24</v>
      </c>
    </row>
    <row r="24" spans="1:21">
      <c r="A24">
        <v>2040</v>
      </c>
      <c r="B24">
        <v>0</v>
      </c>
      <c r="C24">
        <v>10</v>
      </c>
      <c r="D24">
        <v>0</v>
      </c>
      <c r="E24">
        <v>8</v>
      </c>
      <c r="F24">
        <v>8</v>
      </c>
      <c r="G24">
        <v>8</v>
      </c>
      <c r="H24">
        <v>8</v>
      </c>
      <c r="I24">
        <v>8</v>
      </c>
      <c r="J24">
        <v>8</v>
      </c>
      <c r="K24">
        <v>0</v>
      </c>
      <c r="L24">
        <v>0</v>
      </c>
      <c r="M24">
        <v>0</v>
      </c>
      <c r="N24">
        <v>22</v>
      </c>
      <c r="O24">
        <v>2</v>
      </c>
      <c r="P24">
        <v>10</v>
      </c>
      <c r="Q24">
        <v>10</v>
      </c>
      <c r="R24">
        <v>22</v>
      </c>
    </row>
    <row r="25" spans="1:21">
      <c r="A25">
        <v>2041</v>
      </c>
      <c r="B25">
        <v>0</v>
      </c>
      <c r="C25">
        <v>10</v>
      </c>
      <c r="D25">
        <v>0</v>
      </c>
      <c r="E25">
        <v>6</v>
      </c>
      <c r="F25">
        <v>6</v>
      </c>
      <c r="G25">
        <v>6</v>
      </c>
      <c r="H25">
        <v>6</v>
      </c>
      <c r="I25">
        <v>6</v>
      </c>
      <c r="J25">
        <v>6</v>
      </c>
      <c r="K25">
        <v>0</v>
      </c>
      <c r="L25">
        <v>0</v>
      </c>
      <c r="M25">
        <v>0</v>
      </c>
      <c r="N25">
        <v>20</v>
      </c>
      <c r="O25">
        <v>0</v>
      </c>
      <c r="P25">
        <v>8</v>
      </c>
      <c r="Q25">
        <v>8</v>
      </c>
      <c r="R25">
        <v>20</v>
      </c>
    </row>
    <row r="26" spans="1:21">
      <c r="A26">
        <v>2042</v>
      </c>
      <c r="B26">
        <v>0</v>
      </c>
      <c r="C26">
        <v>10</v>
      </c>
      <c r="D26">
        <v>0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0</v>
      </c>
      <c r="L26">
        <v>0</v>
      </c>
      <c r="M26">
        <v>0</v>
      </c>
      <c r="N26">
        <v>18</v>
      </c>
      <c r="O26">
        <v>0</v>
      </c>
      <c r="P26">
        <v>6</v>
      </c>
      <c r="Q26">
        <v>6</v>
      </c>
      <c r="R26">
        <v>18</v>
      </c>
    </row>
    <row r="27" spans="1:21">
      <c r="A27">
        <v>2043</v>
      </c>
      <c r="B27">
        <v>0</v>
      </c>
      <c r="C27">
        <v>10</v>
      </c>
      <c r="D27">
        <v>0</v>
      </c>
      <c r="E27">
        <v>2</v>
      </c>
      <c r="F27">
        <v>2</v>
      </c>
      <c r="G27">
        <v>2</v>
      </c>
      <c r="H27">
        <v>2</v>
      </c>
      <c r="I27">
        <v>2</v>
      </c>
      <c r="J27">
        <v>2</v>
      </c>
      <c r="K27">
        <v>0</v>
      </c>
      <c r="L27">
        <v>0</v>
      </c>
      <c r="M27">
        <v>0</v>
      </c>
      <c r="N27">
        <v>16</v>
      </c>
      <c r="O27">
        <v>0</v>
      </c>
      <c r="P27">
        <v>4</v>
      </c>
      <c r="Q27">
        <v>4</v>
      </c>
      <c r="R27">
        <v>16</v>
      </c>
    </row>
    <row r="28" spans="1:21">
      <c r="A28">
        <v>2044</v>
      </c>
      <c r="B28">
        <v>0</v>
      </c>
      <c r="C28">
        <v>10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14</v>
      </c>
      <c r="O28">
        <v>0</v>
      </c>
      <c r="P28">
        <v>2</v>
      </c>
      <c r="Q28">
        <v>2</v>
      </c>
      <c r="R28">
        <v>14</v>
      </c>
    </row>
    <row r="29" spans="1:21">
      <c r="A29">
        <v>2045</v>
      </c>
      <c r="B29">
        <v>0</v>
      </c>
      <c r="C29">
        <v>10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12</v>
      </c>
      <c r="O29">
        <v>0</v>
      </c>
      <c r="P29">
        <v>0</v>
      </c>
      <c r="Q29">
        <v>0</v>
      </c>
      <c r="R29">
        <v>12</v>
      </c>
    </row>
    <row r="30" spans="1:21">
      <c r="A30">
        <v>2046</v>
      </c>
      <c r="B30">
        <v>0</v>
      </c>
      <c r="C30">
        <v>10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10</v>
      </c>
      <c r="O30">
        <v>0</v>
      </c>
      <c r="P30">
        <v>0</v>
      </c>
      <c r="Q30">
        <v>0</v>
      </c>
      <c r="R30">
        <v>10</v>
      </c>
    </row>
    <row r="31" spans="1:21">
      <c r="A31">
        <v>2047</v>
      </c>
      <c r="B31">
        <v>0</v>
      </c>
      <c r="C31">
        <v>10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8</v>
      </c>
      <c r="O31">
        <v>0</v>
      </c>
      <c r="P31">
        <v>0</v>
      </c>
      <c r="Q31">
        <v>0</v>
      </c>
      <c r="R31">
        <v>8</v>
      </c>
    </row>
    <row r="32" spans="1:21">
      <c r="A32">
        <v>2048</v>
      </c>
      <c r="B32">
        <v>0</v>
      </c>
      <c r="C32">
        <v>10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6</v>
      </c>
      <c r="O32">
        <v>0</v>
      </c>
      <c r="P32">
        <v>0</v>
      </c>
      <c r="Q32">
        <v>0</v>
      </c>
      <c r="R32">
        <v>6</v>
      </c>
    </row>
    <row r="33" spans="1:18">
      <c r="A33">
        <v>2049</v>
      </c>
      <c r="B33">
        <v>0</v>
      </c>
      <c r="C33">
        <v>10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4</v>
      </c>
      <c r="O33">
        <v>0</v>
      </c>
      <c r="P33">
        <v>0</v>
      </c>
      <c r="Q33">
        <v>0</v>
      </c>
      <c r="R33">
        <v>4</v>
      </c>
    </row>
    <row r="34" spans="1:18">
      <c r="A34">
        <v>2050</v>
      </c>
      <c r="B34">
        <v>0</v>
      </c>
      <c r="C34">
        <v>10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2</v>
      </c>
      <c r="O34">
        <v>0</v>
      </c>
      <c r="P34">
        <v>0</v>
      </c>
      <c r="Q34">
        <v>0</v>
      </c>
      <c r="R34">
        <v>2</v>
      </c>
    </row>
    <row r="35" spans="1:18">
      <c r="A35">
        <v>2051</v>
      </c>
      <c r="B35">
        <v>0</v>
      </c>
      <c r="C35">
        <v>10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>
      <c r="A36">
        <v>2052</v>
      </c>
      <c r="B36">
        <v>0</v>
      </c>
      <c r="C36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>
      <c r="A37">
        <v>2053</v>
      </c>
      <c r="B37">
        <v>0</v>
      </c>
      <c r="C37">
        <v>10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>
      <c r="A38">
        <v>2054</v>
      </c>
      <c r="B38">
        <v>0</v>
      </c>
      <c r="C38">
        <v>10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</row>
    <row r="39" spans="1:18">
      <c r="A39">
        <v>2055</v>
      </c>
      <c r="B39">
        <v>0</v>
      </c>
      <c r="C39">
        <v>10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</row>
    <row r="40" spans="1:18">
      <c r="A40">
        <v>2056</v>
      </c>
      <c r="B40">
        <v>0</v>
      </c>
      <c r="C40">
        <v>10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</row>
    <row r="41" spans="1:18">
      <c r="A41">
        <v>2057</v>
      </c>
      <c r="B41">
        <v>0</v>
      </c>
      <c r="C41">
        <v>10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</row>
    <row r="42" spans="1:18">
      <c r="A42">
        <v>2058</v>
      </c>
      <c r="B42">
        <v>0</v>
      </c>
      <c r="C42">
        <v>10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</row>
    <row r="43" spans="1:18">
      <c r="A43">
        <v>2059</v>
      </c>
      <c r="B43">
        <v>0</v>
      </c>
      <c r="C43">
        <v>10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</row>
    <row r="44" spans="1:18">
      <c r="A44">
        <v>2060</v>
      </c>
      <c r="B44">
        <v>0</v>
      </c>
      <c r="C44">
        <v>10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</row>
  </sheetData>
  <phoneticPr fontId="1" type="noConversion"/>
  <hyperlinks>
    <hyperlink ref="T2" r:id="rId1" display="https://bg.qianzhan.com/report/detail/300/240722-daea6cf5.html" xr:uid="{00000000-0004-0000-0600-000000000000}"/>
    <hyperlink ref="T3" r:id="rId2" display="https://mp.weixin.qq.com/s/H3122spLjVGRVGzmtzjYnw" xr:uid="{809B3922-DAEA-484E-8DF0-88120298064F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/>
  <dimension ref="A1:V44"/>
  <sheetViews>
    <sheetView zoomScale="85" zoomScaleNormal="85" workbookViewId="0">
      <selection activeCell="G19" sqref="G19"/>
    </sheetView>
  </sheetViews>
  <sheetFormatPr defaultRowHeight="15.6"/>
  <cols>
    <col min="4" max="4" width="13" style="2" hidden="1" customWidth="1"/>
    <col min="6" max="6" width="8.7265625" style="2" customWidth="1"/>
    <col min="10" max="11" width="8.7265625" style="2" customWidth="1"/>
    <col min="16" max="17" width="13" style="2" hidden="1" customWidth="1"/>
  </cols>
  <sheetData>
    <row r="1" spans="1:22">
      <c r="A1">
        <v>0</v>
      </c>
      <c r="B1" t="s">
        <v>31</v>
      </c>
      <c r="C1" t="s">
        <v>32</v>
      </c>
      <c r="D1" t="s">
        <v>33</v>
      </c>
      <c r="E1" t="s">
        <v>34</v>
      </c>
      <c r="F1" t="s">
        <v>36</v>
      </c>
      <c r="G1" t="s">
        <v>37</v>
      </c>
      <c r="H1" t="s">
        <v>38</v>
      </c>
      <c r="I1" t="s">
        <v>41</v>
      </c>
      <c r="J1" t="s">
        <v>42</v>
      </c>
      <c r="K1" t="s">
        <v>40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49</v>
      </c>
    </row>
    <row r="2" spans="1:22">
      <c r="A2">
        <v>2018</v>
      </c>
      <c r="B2">
        <v>1200</v>
      </c>
      <c r="C2">
        <v>3000</v>
      </c>
      <c r="D2">
        <v>150</v>
      </c>
      <c r="E2">
        <v>360</v>
      </c>
      <c r="F2">
        <v>360</v>
      </c>
      <c r="G2">
        <v>360</v>
      </c>
      <c r="H2">
        <v>5.0000000000000009</v>
      </c>
      <c r="I2">
        <v>360</v>
      </c>
      <c r="J2">
        <v>360</v>
      </c>
      <c r="K2">
        <v>1200</v>
      </c>
      <c r="L2">
        <v>1200</v>
      </c>
      <c r="M2">
        <v>3000</v>
      </c>
      <c r="N2">
        <v>20</v>
      </c>
      <c r="O2">
        <v>3000</v>
      </c>
      <c r="P2">
        <v>1200</v>
      </c>
      <c r="Q2">
        <v>3000</v>
      </c>
      <c r="R2">
        <v>20</v>
      </c>
    </row>
    <row r="3" spans="1:22">
      <c r="A3">
        <v>2019</v>
      </c>
      <c r="B3">
        <v>1200</v>
      </c>
      <c r="C3">
        <v>3000</v>
      </c>
      <c r="D3">
        <v>160</v>
      </c>
      <c r="E3">
        <v>360</v>
      </c>
      <c r="F3">
        <v>360</v>
      </c>
      <c r="G3">
        <v>360</v>
      </c>
      <c r="H3">
        <v>5.0000000000000009</v>
      </c>
      <c r="I3">
        <v>360</v>
      </c>
      <c r="J3">
        <v>360</v>
      </c>
      <c r="K3">
        <v>1200</v>
      </c>
      <c r="L3">
        <v>1200</v>
      </c>
      <c r="M3">
        <v>3000</v>
      </c>
      <c r="N3">
        <v>24.705882352941181</v>
      </c>
      <c r="O3">
        <v>3000</v>
      </c>
      <c r="P3">
        <v>1200</v>
      </c>
      <c r="Q3">
        <v>3000</v>
      </c>
      <c r="R3">
        <v>24.705882352941181</v>
      </c>
    </row>
    <row r="4" spans="1:22">
      <c r="A4">
        <v>2020</v>
      </c>
      <c r="B4">
        <v>1200</v>
      </c>
      <c r="C4">
        <v>3000</v>
      </c>
      <c r="D4">
        <v>170</v>
      </c>
      <c r="E4">
        <v>360</v>
      </c>
      <c r="F4">
        <v>360</v>
      </c>
      <c r="G4">
        <v>360</v>
      </c>
      <c r="H4">
        <v>5.0000000000000009</v>
      </c>
      <c r="I4">
        <v>360</v>
      </c>
      <c r="J4">
        <v>360</v>
      </c>
      <c r="K4">
        <v>1200</v>
      </c>
      <c r="L4">
        <v>1200</v>
      </c>
      <c r="M4">
        <v>3000</v>
      </c>
      <c r="N4">
        <v>29.411764705882359</v>
      </c>
      <c r="O4">
        <v>3000</v>
      </c>
      <c r="P4">
        <v>1200</v>
      </c>
      <c r="Q4">
        <v>3000</v>
      </c>
      <c r="R4">
        <v>29.411764705882359</v>
      </c>
    </row>
    <row r="5" spans="1:22">
      <c r="A5">
        <v>2021</v>
      </c>
      <c r="B5">
        <v>1200</v>
      </c>
      <c r="C5">
        <v>3000</v>
      </c>
      <c r="D5">
        <v>180</v>
      </c>
      <c r="E5">
        <v>360</v>
      </c>
      <c r="F5">
        <v>360</v>
      </c>
      <c r="G5">
        <v>360</v>
      </c>
      <c r="H5">
        <v>5.0000000000000009</v>
      </c>
      <c r="I5">
        <v>360</v>
      </c>
      <c r="J5">
        <v>360</v>
      </c>
      <c r="K5">
        <v>1200</v>
      </c>
      <c r="L5">
        <v>1200</v>
      </c>
      <c r="M5">
        <v>3000</v>
      </c>
      <c r="N5">
        <v>34.117647058823543</v>
      </c>
      <c r="O5">
        <v>3000</v>
      </c>
      <c r="P5">
        <v>1200</v>
      </c>
      <c r="Q5">
        <v>3000</v>
      </c>
      <c r="R5">
        <v>34.117647058823543</v>
      </c>
    </row>
    <row r="6" spans="1:22">
      <c r="A6">
        <v>2022</v>
      </c>
      <c r="B6">
        <v>1200</v>
      </c>
      <c r="C6">
        <v>3000</v>
      </c>
      <c r="D6">
        <v>190</v>
      </c>
      <c r="E6">
        <v>360</v>
      </c>
      <c r="F6">
        <v>360</v>
      </c>
      <c r="G6">
        <v>360</v>
      </c>
      <c r="H6">
        <v>5.0000000000000009</v>
      </c>
      <c r="I6">
        <v>360</v>
      </c>
      <c r="J6">
        <v>360</v>
      </c>
      <c r="K6">
        <v>1200</v>
      </c>
      <c r="L6">
        <v>1200</v>
      </c>
      <c r="M6">
        <v>3000</v>
      </c>
      <c r="N6">
        <v>38.823529411764717</v>
      </c>
      <c r="O6">
        <v>3000</v>
      </c>
      <c r="P6">
        <v>1200</v>
      </c>
      <c r="Q6">
        <v>3000</v>
      </c>
      <c r="R6">
        <v>38.823529411764717</v>
      </c>
      <c r="V6" t="s">
        <v>61</v>
      </c>
    </row>
    <row r="7" spans="1:22">
      <c r="A7">
        <v>2023</v>
      </c>
      <c r="B7">
        <v>1200</v>
      </c>
      <c r="C7">
        <v>3000</v>
      </c>
      <c r="D7">
        <v>200</v>
      </c>
      <c r="E7">
        <v>360</v>
      </c>
      <c r="F7">
        <v>360</v>
      </c>
      <c r="G7">
        <v>360</v>
      </c>
      <c r="H7">
        <v>5.0000000000000009</v>
      </c>
      <c r="I7">
        <v>360</v>
      </c>
      <c r="J7">
        <v>360</v>
      </c>
      <c r="K7">
        <v>1200</v>
      </c>
      <c r="L7">
        <v>1200</v>
      </c>
      <c r="M7">
        <v>3000</v>
      </c>
      <c r="N7">
        <v>43.529411764705898</v>
      </c>
      <c r="O7">
        <v>3000</v>
      </c>
      <c r="P7">
        <v>1200</v>
      </c>
      <c r="Q7">
        <v>3000</v>
      </c>
      <c r="R7">
        <v>43.529411764705898</v>
      </c>
    </row>
    <row r="8" spans="1:22">
      <c r="A8">
        <v>2024</v>
      </c>
      <c r="B8">
        <v>1200</v>
      </c>
      <c r="C8">
        <v>3000</v>
      </c>
      <c r="D8">
        <v>210</v>
      </c>
      <c r="E8">
        <v>360</v>
      </c>
      <c r="F8">
        <v>360</v>
      </c>
      <c r="G8">
        <v>360</v>
      </c>
      <c r="H8">
        <v>5.0000000000000009</v>
      </c>
      <c r="I8">
        <v>360</v>
      </c>
      <c r="J8">
        <v>360</v>
      </c>
      <c r="K8">
        <v>1200</v>
      </c>
      <c r="L8">
        <v>1200</v>
      </c>
      <c r="M8">
        <v>3000</v>
      </c>
      <c r="N8">
        <v>48.235294117647079</v>
      </c>
      <c r="O8">
        <v>3000</v>
      </c>
      <c r="P8">
        <v>1200</v>
      </c>
      <c r="Q8">
        <v>3000</v>
      </c>
      <c r="R8">
        <v>48.235294117647079</v>
      </c>
    </row>
    <row r="9" spans="1:22">
      <c r="A9">
        <v>2025</v>
      </c>
      <c r="B9">
        <v>1200</v>
      </c>
      <c r="C9">
        <v>3000</v>
      </c>
      <c r="D9">
        <v>220</v>
      </c>
      <c r="E9">
        <v>360</v>
      </c>
      <c r="F9">
        <v>360</v>
      </c>
      <c r="G9">
        <v>360</v>
      </c>
      <c r="H9">
        <v>5.0000000000000009</v>
      </c>
      <c r="I9">
        <v>360</v>
      </c>
      <c r="J9">
        <v>360</v>
      </c>
      <c r="K9">
        <v>1200</v>
      </c>
      <c r="L9">
        <v>1200</v>
      </c>
      <c r="M9">
        <v>3000</v>
      </c>
      <c r="N9">
        <v>52.94117647058826</v>
      </c>
      <c r="O9">
        <v>3000</v>
      </c>
      <c r="P9">
        <v>1200</v>
      </c>
      <c r="Q9">
        <v>3000</v>
      </c>
      <c r="R9">
        <v>52.94117647058826</v>
      </c>
    </row>
    <row r="10" spans="1:22">
      <c r="A10">
        <v>2026</v>
      </c>
      <c r="B10">
        <v>1200</v>
      </c>
      <c r="C10">
        <v>3000</v>
      </c>
      <c r="D10">
        <v>230</v>
      </c>
      <c r="E10">
        <v>360</v>
      </c>
      <c r="F10">
        <v>360</v>
      </c>
      <c r="G10">
        <v>360</v>
      </c>
      <c r="H10">
        <v>5.0000000000000009</v>
      </c>
      <c r="I10">
        <v>360</v>
      </c>
      <c r="J10">
        <v>360</v>
      </c>
      <c r="K10">
        <v>1200</v>
      </c>
      <c r="L10">
        <v>1200</v>
      </c>
      <c r="M10">
        <v>3000</v>
      </c>
      <c r="N10">
        <v>57.647058823529441</v>
      </c>
      <c r="O10">
        <v>3000</v>
      </c>
      <c r="P10">
        <v>1200</v>
      </c>
      <c r="Q10">
        <v>3000</v>
      </c>
      <c r="R10">
        <v>57.647058823529441</v>
      </c>
    </row>
    <row r="11" spans="1:22">
      <c r="A11">
        <v>2027</v>
      </c>
      <c r="B11">
        <v>1200</v>
      </c>
      <c r="C11">
        <v>3000</v>
      </c>
      <c r="D11">
        <v>240</v>
      </c>
      <c r="E11">
        <v>360</v>
      </c>
      <c r="F11">
        <v>360</v>
      </c>
      <c r="G11">
        <v>360</v>
      </c>
      <c r="H11">
        <v>5.0000000000000009</v>
      </c>
      <c r="I11">
        <v>360</v>
      </c>
      <c r="J11">
        <v>360</v>
      </c>
      <c r="K11">
        <v>1200</v>
      </c>
      <c r="L11">
        <v>1200</v>
      </c>
      <c r="M11">
        <v>3000</v>
      </c>
      <c r="N11">
        <v>62.352941176470623</v>
      </c>
      <c r="O11">
        <v>3000</v>
      </c>
      <c r="P11">
        <v>1200</v>
      </c>
      <c r="Q11">
        <v>3000</v>
      </c>
      <c r="R11">
        <v>62.352941176470623</v>
      </c>
    </row>
    <row r="12" spans="1:22">
      <c r="A12">
        <v>2028</v>
      </c>
      <c r="B12">
        <v>1200</v>
      </c>
      <c r="C12">
        <v>3000</v>
      </c>
      <c r="D12">
        <v>250</v>
      </c>
      <c r="E12">
        <v>360</v>
      </c>
      <c r="F12">
        <v>360</v>
      </c>
      <c r="G12">
        <v>360</v>
      </c>
      <c r="H12">
        <v>5.0000000000000009</v>
      </c>
      <c r="I12">
        <v>360</v>
      </c>
      <c r="J12">
        <v>360</v>
      </c>
      <c r="K12">
        <v>1200</v>
      </c>
      <c r="L12">
        <v>1200</v>
      </c>
      <c r="M12">
        <v>3000</v>
      </c>
      <c r="N12">
        <v>67.058823529411796</v>
      </c>
      <c r="O12">
        <v>3000</v>
      </c>
      <c r="P12">
        <v>1200</v>
      </c>
      <c r="Q12">
        <v>3000</v>
      </c>
      <c r="R12">
        <v>67.058823529411796</v>
      </c>
    </row>
    <row r="13" spans="1:22">
      <c r="A13">
        <v>2029</v>
      </c>
      <c r="B13">
        <v>1200</v>
      </c>
      <c r="C13">
        <v>3000</v>
      </c>
      <c r="D13">
        <v>260</v>
      </c>
      <c r="E13">
        <v>360</v>
      </c>
      <c r="F13">
        <v>360</v>
      </c>
      <c r="G13">
        <v>360</v>
      </c>
      <c r="H13">
        <v>5.0000000000000009</v>
      </c>
      <c r="I13">
        <v>360</v>
      </c>
      <c r="J13">
        <v>360</v>
      </c>
      <c r="K13">
        <v>1200</v>
      </c>
      <c r="L13">
        <v>1200</v>
      </c>
      <c r="M13">
        <v>3000</v>
      </c>
      <c r="N13">
        <v>71.764705882352985</v>
      </c>
      <c r="O13">
        <v>3000</v>
      </c>
      <c r="P13">
        <v>1200</v>
      </c>
      <c r="Q13">
        <v>3000</v>
      </c>
      <c r="R13">
        <v>71.764705882352985</v>
      </c>
    </row>
    <row r="14" spans="1:22">
      <c r="A14">
        <v>2030</v>
      </c>
      <c r="B14">
        <v>1200</v>
      </c>
      <c r="C14">
        <v>3000</v>
      </c>
      <c r="D14">
        <v>270</v>
      </c>
      <c r="E14">
        <v>360</v>
      </c>
      <c r="F14">
        <v>360</v>
      </c>
      <c r="G14">
        <v>360</v>
      </c>
      <c r="H14">
        <v>5.0000000000000009</v>
      </c>
      <c r="I14">
        <v>360</v>
      </c>
      <c r="J14">
        <v>360</v>
      </c>
      <c r="K14">
        <v>1200</v>
      </c>
      <c r="L14">
        <v>1200</v>
      </c>
      <c r="M14">
        <v>3000</v>
      </c>
      <c r="N14">
        <v>76.470588235294159</v>
      </c>
      <c r="O14">
        <v>3000</v>
      </c>
      <c r="P14">
        <v>1200</v>
      </c>
      <c r="Q14">
        <v>3000</v>
      </c>
      <c r="R14">
        <v>76.470588235294159</v>
      </c>
    </row>
    <row r="15" spans="1:22">
      <c r="A15">
        <v>2031</v>
      </c>
      <c r="B15">
        <v>1200</v>
      </c>
      <c r="C15">
        <v>3000</v>
      </c>
      <c r="D15">
        <v>280</v>
      </c>
      <c r="E15">
        <v>360</v>
      </c>
      <c r="F15">
        <v>360</v>
      </c>
      <c r="G15">
        <v>360</v>
      </c>
      <c r="H15">
        <v>5.0000000000000009</v>
      </c>
      <c r="I15">
        <v>360</v>
      </c>
      <c r="J15">
        <v>360</v>
      </c>
      <c r="K15">
        <v>1200</v>
      </c>
      <c r="L15">
        <v>1200</v>
      </c>
      <c r="M15">
        <v>3000</v>
      </c>
      <c r="N15">
        <v>81.176470588235333</v>
      </c>
      <c r="O15">
        <v>3000</v>
      </c>
      <c r="P15">
        <v>1200</v>
      </c>
      <c r="Q15">
        <v>3000</v>
      </c>
      <c r="R15">
        <v>81.176470588235333</v>
      </c>
    </row>
    <row r="16" spans="1:22">
      <c r="A16">
        <v>2032</v>
      </c>
      <c r="B16">
        <v>1200</v>
      </c>
      <c r="C16">
        <v>3000</v>
      </c>
      <c r="D16">
        <v>290</v>
      </c>
      <c r="E16">
        <v>360</v>
      </c>
      <c r="F16">
        <v>360</v>
      </c>
      <c r="G16">
        <v>360</v>
      </c>
      <c r="H16">
        <v>5.0000000000000009</v>
      </c>
      <c r="I16">
        <v>360</v>
      </c>
      <c r="J16">
        <v>360</v>
      </c>
      <c r="K16">
        <v>1200</v>
      </c>
      <c r="L16">
        <v>1200</v>
      </c>
      <c r="M16">
        <v>3000</v>
      </c>
      <c r="N16">
        <v>85.882352941176521</v>
      </c>
      <c r="O16">
        <v>3000</v>
      </c>
      <c r="P16">
        <v>1200</v>
      </c>
      <c r="Q16">
        <v>3000</v>
      </c>
      <c r="R16">
        <v>85.882352941176521</v>
      </c>
    </row>
    <row r="17" spans="1:22">
      <c r="A17">
        <v>2033</v>
      </c>
      <c r="B17">
        <v>1200</v>
      </c>
      <c r="C17">
        <v>3000</v>
      </c>
      <c r="D17">
        <v>300</v>
      </c>
      <c r="E17">
        <v>360</v>
      </c>
      <c r="F17">
        <v>360</v>
      </c>
      <c r="G17">
        <v>360</v>
      </c>
      <c r="H17">
        <v>5.0000000000000009</v>
      </c>
      <c r="I17">
        <v>360</v>
      </c>
      <c r="J17">
        <v>360</v>
      </c>
      <c r="K17">
        <v>1200</v>
      </c>
      <c r="L17">
        <v>1200</v>
      </c>
      <c r="M17">
        <v>3000</v>
      </c>
      <c r="N17">
        <v>90.588235294117709</v>
      </c>
      <c r="O17">
        <v>3000</v>
      </c>
      <c r="P17">
        <v>1200</v>
      </c>
      <c r="Q17">
        <v>3000</v>
      </c>
      <c r="R17">
        <v>90.588235294117709</v>
      </c>
    </row>
    <row r="18" spans="1:22">
      <c r="A18">
        <v>2034</v>
      </c>
      <c r="B18">
        <v>1200</v>
      </c>
      <c r="C18">
        <v>3000</v>
      </c>
      <c r="D18">
        <v>310</v>
      </c>
      <c r="E18">
        <v>360</v>
      </c>
      <c r="F18">
        <v>360</v>
      </c>
      <c r="G18">
        <v>360</v>
      </c>
      <c r="H18">
        <v>5.0000000000000009</v>
      </c>
      <c r="I18">
        <v>360</v>
      </c>
      <c r="J18">
        <v>360</v>
      </c>
      <c r="K18">
        <v>1200</v>
      </c>
      <c r="L18">
        <v>1200</v>
      </c>
      <c r="M18">
        <v>3000</v>
      </c>
      <c r="N18">
        <v>95.294117647058883</v>
      </c>
      <c r="O18">
        <v>3000</v>
      </c>
      <c r="P18">
        <v>1200</v>
      </c>
      <c r="Q18">
        <v>3000</v>
      </c>
      <c r="R18">
        <v>95.294117647058883</v>
      </c>
    </row>
    <row r="19" spans="1:22">
      <c r="A19">
        <v>2035</v>
      </c>
      <c r="B19">
        <v>1200</v>
      </c>
      <c r="C19">
        <v>3000</v>
      </c>
      <c r="D19">
        <v>320</v>
      </c>
      <c r="E19">
        <v>360</v>
      </c>
      <c r="F19">
        <v>360</v>
      </c>
      <c r="G19">
        <v>360</v>
      </c>
      <c r="H19">
        <v>5.0000000000000009</v>
      </c>
      <c r="I19">
        <v>360</v>
      </c>
      <c r="J19">
        <v>360</v>
      </c>
      <c r="K19">
        <v>1200</v>
      </c>
      <c r="L19">
        <v>1200</v>
      </c>
      <c r="M19">
        <v>3000</v>
      </c>
      <c r="N19">
        <v>100.0000000000001</v>
      </c>
      <c r="O19">
        <v>3000</v>
      </c>
      <c r="P19">
        <v>1200</v>
      </c>
      <c r="Q19">
        <v>3000</v>
      </c>
      <c r="R19">
        <v>100.0000000000001</v>
      </c>
    </row>
    <row r="20" spans="1:22">
      <c r="A20">
        <v>2036</v>
      </c>
      <c r="B20">
        <v>1200</v>
      </c>
      <c r="C20">
        <v>3000</v>
      </c>
      <c r="D20">
        <v>330</v>
      </c>
      <c r="E20">
        <v>360</v>
      </c>
      <c r="F20">
        <v>360</v>
      </c>
      <c r="G20">
        <v>360</v>
      </c>
      <c r="H20">
        <v>5.0000000000000009</v>
      </c>
      <c r="I20">
        <v>360</v>
      </c>
      <c r="J20">
        <v>360</v>
      </c>
      <c r="K20">
        <v>1200</v>
      </c>
      <c r="L20">
        <v>1200</v>
      </c>
      <c r="M20">
        <v>3000</v>
      </c>
      <c r="N20">
        <v>106.6666666666667</v>
      </c>
      <c r="O20">
        <v>3000</v>
      </c>
      <c r="P20">
        <v>1200</v>
      </c>
      <c r="Q20">
        <v>3000</v>
      </c>
      <c r="R20">
        <v>106.6666666666667</v>
      </c>
    </row>
    <row r="21" spans="1:22">
      <c r="A21">
        <v>2037</v>
      </c>
      <c r="B21">
        <v>1200</v>
      </c>
      <c r="C21">
        <v>3000</v>
      </c>
      <c r="D21">
        <v>340</v>
      </c>
      <c r="E21">
        <v>360</v>
      </c>
      <c r="F21">
        <v>360</v>
      </c>
      <c r="G21">
        <v>360</v>
      </c>
      <c r="H21">
        <v>5.0000000000000009</v>
      </c>
      <c r="I21">
        <v>360</v>
      </c>
      <c r="J21">
        <v>360</v>
      </c>
      <c r="K21">
        <v>1200</v>
      </c>
      <c r="L21">
        <v>1200</v>
      </c>
      <c r="M21">
        <v>3000</v>
      </c>
      <c r="N21">
        <v>113.3333333333334</v>
      </c>
      <c r="O21">
        <v>3000</v>
      </c>
      <c r="P21">
        <v>1200</v>
      </c>
      <c r="Q21">
        <v>3000</v>
      </c>
      <c r="R21">
        <v>113.3333333333334</v>
      </c>
    </row>
    <row r="22" spans="1:22">
      <c r="A22">
        <v>2038</v>
      </c>
      <c r="B22">
        <v>1200</v>
      </c>
      <c r="C22">
        <v>3000</v>
      </c>
      <c r="D22">
        <v>350</v>
      </c>
      <c r="E22">
        <v>360</v>
      </c>
      <c r="F22">
        <v>360</v>
      </c>
      <c r="G22">
        <v>360</v>
      </c>
      <c r="H22">
        <v>5.0000000000000009</v>
      </c>
      <c r="I22">
        <v>360</v>
      </c>
      <c r="J22">
        <v>360</v>
      </c>
      <c r="K22">
        <v>1200</v>
      </c>
      <c r="L22">
        <v>1200</v>
      </c>
      <c r="M22">
        <v>3000</v>
      </c>
      <c r="N22">
        <v>120</v>
      </c>
      <c r="O22">
        <v>3000</v>
      </c>
      <c r="P22">
        <v>1200</v>
      </c>
      <c r="Q22">
        <v>3000</v>
      </c>
      <c r="R22">
        <v>120</v>
      </c>
    </row>
    <row r="23" spans="1:22">
      <c r="A23">
        <v>2039</v>
      </c>
      <c r="B23">
        <v>1200</v>
      </c>
      <c r="C23">
        <v>3000</v>
      </c>
      <c r="D23">
        <v>360</v>
      </c>
      <c r="E23">
        <v>360</v>
      </c>
      <c r="F23">
        <v>360</v>
      </c>
      <c r="G23">
        <v>360</v>
      </c>
      <c r="H23">
        <v>5.0000000000000009</v>
      </c>
      <c r="I23">
        <v>360</v>
      </c>
      <c r="J23">
        <v>360</v>
      </c>
      <c r="K23">
        <v>1200</v>
      </c>
      <c r="L23">
        <v>1200</v>
      </c>
      <c r="M23">
        <v>3000</v>
      </c>
      <c r="N23">
        <v>126.6666666666667</v>
      </c>
      <c r="O23">
        <v>3000</v>
      </c>
      <c r="P23">
        <v>1200</v>
      </c>
      <c r="Q23">
        <v>3000</v>
      </c>
      <c r="R23">
        <v>126.6666666666667</v>
      </c>
    </row>
    <row r="24" spans="1:22">
      <c r="A24">
        <v>2040</v>
      </c>
      <c r="B24">
        <v>1200</v>
      </c>
      <c r="C24">
        <v>3000</v>
      </c>
      <c r="D24">
        <v>360</v>
      </c>
      <c r="E24">
        <v>360</v>
      </c>
      <c r="F24">
        <v>360</v>
      </c>
      <c r="G24">
        <v>360</v>
      </c>
      <c r="H24">
        <v>5.0000000000000009</v>
      </c>
      <c r="I24">
        <v>360</v>
      </c>
      <c r="J24">
        <v>360</v>
      </c>
      <c r="K24">
        <v>1200</v>
      </c>
      <c r="L24">
        <v>1200</v>
      </c>
      <c r="M24">
        <v>3000</v>
      </c>
      <c r="N24">
        <v>133.3333333333334</v>
      </c>
      <c r="O24">
        <v>3000</v>
      </c>
      <c r="P24">
        <v>1200</v>
      </c>
      <c r="Q24">
        <v>3000</v>
      </c>
      <c r="R24">
        <v>133.3333333333334</v>
      </c>
    </row>
    <row r="25" spans="1:22">
      <c r="A25">
        <v>2041</v>
      </c>
      <c r="B25">
        <v>1200</v>
      </c>
      <c r="C25">
        <v>3000</v>
      </c>
      <c r="D25">
        <v>360</v>
      </c>
      <c r="E25">
        <v>360</v>
      </c>
      <c r="F25">
        <v>360</v>
      </c>
      <c r="G25">
        <v>360</v>
      </c>
      <c r="H25">
        <v>5.0000000000000009</v>
      </c>
      <c r="I25">
        <v>360</v>
      </c>
      <c r="J25">
        <v>360</v>
      </c>
      <c r="K25">
        <v>1200</v>
      </c>
      <c r="L25">
        <v>1200</v>
      </c>
      <c r="M25">
        <v>3000</v>
      </c>
      <c r="N25">
        <v>140</v>
      </c>
      <c r="O25">
        <v>3000</v>
      </c>
      <c r="P25">
        <v>1200</v>
      </c>
      <c r="Q25">
        <v>3000</v>
      </c>
      <c r="R25">
        <v>140</v>
      </c>
    </row>
    <row r="26" spans="1:22">
      <c r="A26">
        <v>2042</v>
      </c>
      <c r="B26">
        <v>1200</v>
      </c>
      <c r="C26">
        <v>3000</v>
      </c>
      <c r="D26">
        <v>360</v>
      </c>
      <c r="E26">
        <v>360</v>
      </c>
      <c r="F26">
        <v>360</v>
      </c>
      <c r="G26">
        <v>360</v>
      </c>
      <c r="H26">
        <v>5.0000000000000009</v>
      </c>
      <c r="I26">
        <v>360</v>
      </c>
      <c r="J26">
        <v>360</v>
      </c>
      <c r="K26">
        <v>1200</v>
      </c>
      <c r="L26">
        <v>1200</v>
      </c>
      <c r="M26">
        <v>3000</v>
      </c>
      <c r="N26">
        <v>146.66666666666671</v>
      </c>
      <c r="O26">
        <v>3000</v>
      </c>
      <c r="P26">
        <v>1200</v>
      </c>
      <c r="Q26">
        <v>3000</v>
      </c>
      <c r="R26">
        <v>146.66666666666671</v>
      </c>
    </row>
    <row r="27" spans="1:22">
      <c r="A27">
        <v>2043</v>
      </c>
      <c r="B27">
        <v>1200</v>
      </c>
      <c r="C27">
        <v>3000</v>
      </c>
      <c r="D27">
        <v>360</v>
      </c>
      <c r="E27">
        <v>360</v>
      </c>
      <c r="F27">
        <v>360</v>
      </c>
      <c r="G27">
        <v>360</v>
      </c>
      <c r="H27">
        <v>5.0000000000000009</v>
      </c>
      <c r="I27">
        <v>360</v>
      </c>
      <c r="J27">
        <v>360</v>
      </c>
      <c r="K27">
        <v>1200</v>
      </c>
      <c r="L27">
        <v>1200</v>
      </c>
      <c r="M27">
        <v>3000</v>
      </c>
      <c r="N27">
        <v>153.33333333333329</v>
      </c>
      <c r="O27">
        <v>3000</v>
      </c>
      <c r="P27">
        <v>1200</v>
      </c>
      <c r="Q27">
        <v>3000</v>
      </c>
      <c r="R27">
        <v>153.33333333333329</v>
      </c>
      <c r="V27" t="s">
        <v>62</v>
      </c>
    </row>
    <row r="28" spans="1:22">
      <c r="A28">
        <v>2044</v>
      </c>
      <c r="B28">
        <v>1200</v>
      </c>
      <c r="C28">
        <v>3000</v>
      </c>
      <c r="D28">
        <v>360</v>
      </c>
      <c r="E28">
        <v>360</v>
      </c>
      <c r="F28">
        <v>360</v>
      </c>
      <c r="G28">
        <v>360</v>
      </c>
      <c r="H28">
        <v>5.0000000000000009</v>
      </c>
      <c r="I28">
        <v>360</v>
      </c>
      <c r="J28">
        <v>360</v>
      </c>
      <c r="K28">
        <v>1200</v>
      </c>
      <c r="L28">
        <v>1200</v>
      </c>
      <c r="M28">
        <v>3000</v>
      </c>
      <c r="N28">
        <v>160</v>
      </c>
      <c r="O28">
        <v>3000</v>
      </c>
      <c r="P28">
        <v>1200</v>
      </c>
      <c r="Q28">
        <v>3000</v>
      </c>
      <c r="R28">
        <v>160</v>
      </c>
    </row>
    <row r="29" spans="1:22">
      <c r="A29">
        <v>2045</v>
      </c>
      <c r="B29">
        <v>1200</v>
      </c>
      <c r="C29">
        <v>3000</v>
      </c>
      <c r="D29">
        <v>360</v>
      </c>
      <c r="E29">
        <v>360</v>
      </c>
      <c r="F29">
        <v>360</v>
      </c>
      <c r="G29">
        <v>360</v>
      </c>
      <c r="H29">
        <v>5.0000000000000009</v>
      </c>
      <c r="I29">
        <v>360</v>
      </c>
      <c r="J29">
        <v>360</v>
      </c>
      <c r="K29">
        <v>1200</v>
      </c>
      <c r="L29">
        <v>1200</v>
      </c>
      <c r="M29">
        <v>3000</v>
      </c>
      <c r="N29">
        <v>166.66666666666671</v>
      </c>
      <c r="O29">
        <v>3000</v>
      </c>
      <c r="P29">
        <v>1200</v>
      </c>
      <c r="Q29">
        <v>3000</v>
      </c>
      <c r="R29">
        <v>166.66666666666671</v>
      </c>
      <c r="V29" t="s">
        <v>63</v>
      </c>
    </row>
    <row r="30" spans="1:22">
      <c r="A30">
        <v>2046</v>
      </c>
      <c r="B30">
        <v>1200</v>
      </c>
      <c r="C30">
        <v>3000</v>
      </c>
      <c r="D30">
        <v>360</v>
      </c>
      <c r="E30">
        <v>360</v>
      </c>
      <c r="F30">
        <v>360</v>
      </c>
      <c r="G30">
        <v>360</v>
      </c>
      <c r="H30">
        <v>5.0000000000000009</v>
      </c>
      <c r="I30">
        <v>360</v>
      </c>
      <c r="J30">
        <v>360</v>
      </c>
      <c r="K30">
        <v>1200</v>
      </c>
      <c r="L30">
        <v>1200</v>
      </c>
      <c r="M30">
        <v>3000</v>
      </c>
      <c r="N30">
        <v>173.33333333333329</v>
      </c>
      <c r="O30">
        <v>3000</v>
      </c>
      <c r="P30">
        <v>1200</v>
      </c>
      <c r="Q30">
        <v>3000</v>
      </c>
      <c r="R30">
        <v>173.33333333333329</v>
      </c>
    </row>
    <row r="31" spans="1:22">
      <c r="A31">
        <v>2047</v>
      </c>
      <c r="B31">
        <v>1200</v>
      </c>
      <c r="C31">
        <v>3000</v>
      </c>
      <c r="D31">
        <v>360</v>
      </c>
      <c r="E31">
        <v>360</v>
      </c>
      <c r="F31">
        <v>360</v>
      </c>
      <c r="G31">
        <v>360</v>
      </c>
      <c r="H31">
        <v>5.0000000000000009</v>
      </c>
      <c r="I31">
        <v>360</v>
      </c>
      <c r="J31">
        <v>360</v>
      </c>
      <c r="K31">
        <v>1200</v>
      </c>
      <c r="L31">
        <v>1200</v>
      </c>
      <c r="M31">
        <v>3000</v>
      </c>
      <c r="N31">
        <v>180</v>
      </c>
      <c r="O31">
        <v>3000</v>
      </c>
      <c r="P31">
        <v>1200</v>
      </c>
      <c r="Q31">
        <v>3000</v>
      </c>
      <c r="R31">
        <v>180</v>
      </c>
      <c r="V31" t="s">
        <v>64</v>
      </c>
    </row>
    <row r="32" spans="1:22">
      <c r="A32">
        <v>2048</v>
      </c>
      <c r="B32">
        <v>1200</v>
      </c>
      <c r="C32">
        <v>3000</v>
      </c>
      <c r="D32">
        <v>360</v>
      </c>
      <c r="E32">
        <v>360</v>
      </c>
      <c r="F32">
        <v>360</v>
      </c>
      <c r="G32">
        <v>360</v>
      </c>
      <c r="H32">
        <v>5.0000000000000009</v>
      </c>
      <c r="I32">
        <v>360</v>
      </c>
      <c r="J32">
        <v>360</v>
      </c>
      <c r="K32">
        <v>1200</v>
      </c>
      <c r="L32">
        <v>1200</v>
      </c>
      <c r="M32">
        <v>3000</v>
      </c>
      <c r="N32">
        <v>186.6666666666666</v>
      </c>
      <c r="O32">
        <v>3000</v>
      </c>
      <c r="P32">
        <v>1200</v>
      </c>
      <c r="Q32">
        <v>3000</v>
      </c>
      <c r="R32">
        <v>186.6666666666666</v>
      </c>
    </row>
    <row r="33" spans="1:18">
      <c r="A33">
        <v>2049</v>
      </c>
      <c r="B33">
        <v>1200</v>
      </c>
      <c r="C33">
        <v>3000</v>
      </c>
      <c r="D33">
        <v>360</v>
      </c>
      <c r="E33">
        <v>360</v>
      </c>
      <c r="F33">
        <v>360</v>
      </c>
      <c r="G33">
        <v>360</v>
      </c>
      <c r="H33">
        <v>5.0000000000000009</v>
      </c>
      <c r="I33">
        <v>360</v>
      </c>
      <c r="J33">
        <v>360</v>
      </c>
      <c r="K33">
        <v>1200</v>
      </c>
      <c r="L33">
        <v>1200</v>
      </c>
      <c r="M33">
        <v>3000</v>
      </c>
      <c r="N33">
        <v>193.33333333333329</v>
      </c>
      <c r="O33">
        <v>3000</v>
      </c>
      <c r="P33">
        <v>1200</v>
      </c>
      <c r="Q33">
        <v>3000</v>
      </c>
      <c r="R33">
        <v>193.33333333333329</v>
      </c>
    </row>
    <row r="34" spans="1:18">
      <c r="A34">
        <v>2050</v>
      </c>
      <c r="B34">
        <v>1200</v>
      </c>
      <c r="C34">
        <v>3000</v>
      </c>
      <c r="D34">
        <v>360</v>
      </c>
      <c r="E34">
        <v>360</v>
      </c>
      <c r="F34">
        <v>360</v>
      </c>
      <c r="G34">
        <v>360</v>
      </c>
      <c r="H34">
        <v>5.0000000000000009</v>
      </c>
      <c r="I34">
        <v>360</v>
      </c>
      <c r="J34">
        <v>360</v>
      </c>
      <c r="K34">
        <v>1200</v>
      </c>
      <c r="L34">
        <v>1200</v>
      </c>
      <c r="M34">
        <v>3000</v>
      </c>
      <c r="N34">
        <v>199.99999999999989</v>
      </c>
      <c r="O34">
        <v>3000</v>
      </c>
      <c r="P34">
        <v>1200</v>
      </c>
      <c r="Q34">
        <v>3000</v>
      </c>
      <c r="R34">
        <v>199.99999999999989</v>
      </c>
    </row>
    <row r="35" spans="1:18">
      <c r="A35">
        <v>2051</v>
      </c>
      <c r="B35">
        <v>1200</v>
      </c>
      <c r="C35">
        <v>3000</v>
      </c>
      <c r="D35">
        <v>360</v>
      </c>
      <c r="E35">
        <v>360</v>
      </c>
      <c r="F35">
        <v>360</v>
      </c>
      <c r="G35">
        <v>360</v>
      </c>
      <c r="H35">
        <v>5.0000000000000009</v>
      </c>
      <c r="I35">
        <v>360</v>
      </c>
      <c r="J35">
        <v>360</v>
      </c>
      <c r="K35">
        <v>1200</v>
      </c>
      <c r="L35">
        <v>1200</v>
      </c>
      <c r="M35">
        <v>3000</v>
      </c>
      <c r="N35">
        <v>200</v>
      </c>
      <c r="O35">
        <v>3000</v>
      </c>
      <c r="P35">
        <v>1200</v>
      </c>
      <c r="Q35">
        <v>3000</v>
      </c>
      <c r="R35">
        <v>200</v>
      </c>
    </row>
    <row r="36" spans="1:18">
      <c r="A36">
        <v>2052</v>
      </c>
      <c r="B36">
        <v>1200</v>
      </c>
      <c r="C36">
        <v>3000</v>
      </c>
      <c r="D36">
        <v>360</v>
      </c>
      <c r="E36">
        <v>360</v>
      </c>
      <c r="F36">
        <v>360</v>
      </c>
      <c r="G36">
        <v>360</v>
      </c>
      <c r="H36">
        <v>5.0000000000000009</v>
      </c>
      <c r="I36">
        <v>360</v>
      </c>
      <c r="J36">
        <v>360</v>
      </c>
      <c r="K36">
        <v>1200</v>
      </c>
      <c r="L36">
        <v>1200</v>
      </c>
      <c r="M36">
        <v>3000</v>
      </c>
      <c r="N36">
        <v>200</v>
      </c>
      <c r="O36">
        <v>3000</v>
      </c>
      <c r="P36">
        <v>1200</v>
      </c>
      <c r="Q36">
        <v>3000</v>
      </c>
      <c r="R36">
        <v>200</v>
      </c>
    </row>
    <row r="37" spans="1:18">
      <c r="A37">
        <v>2053</v>
      </c>
      <c r="B37">
        <v>1200</v>
      </c>
      <c r="C37">
        <v>3000</v>
      </c>
      <c r="D37">
        <v>360</v>
      </c>
      <c r="E37">
        <v>360</v>
      </c>
      <c r="F37">
        <v>360</v>
      </c>
      <c r="G37">
        <v>360</v>
      </c>
      <c r="H37">
        <v>5.0000000000000009</v>
      </c>
      <c r="I37">
        <v>360</v>
      </c>
      <c r="J37">
        <v>360</v>
      </c>
      <c r="K37">
        <v>1200</v>
      </c>
      <c r="L37">
        <v>1200</v>
      </c>
      <c r="M37">
        <v>3000</v>
      </c>
      <c r="N37">
        <v>200</v>
      </c>
      <c r="O37">
        <v>3000</v>
      </c>
      <c r="P37">
        <v>1200</v>
      </c>
      <c r="Q37">
        <v>3000</v>
      </c>
      <c r="R37">
        <v>200</v>
      </c>
    </row>
    <row r="38" spans="1:18">
      <c r="A38">
        <v>2054</v>
      </c>
      <c r="B38">
        <v>1200</v>
      </c>
      <c r="C38">
        <v>3000</v>
      </c>
      <c r="D38">
        <v>360</v>
      </c>
      <c r="E38">
        <v>360</v>
      </c>
      <c r="F38">
        <v>360</v>
      </c>
      <c r="G38">
        <v>360</v>
      </c>
      <c r="H38">
        <v>5.0000000000000009</v>
      </c>
      <c r="I38">
        <v>360</v>
      </c>
      <c r="J38">
        <v>360</v>
      </c>
      <c r="K38">
        <v>1200</v>
      </c>
      <c r="L38">
        <v>1200</v>
      </c>
      <c r="M38">
        <v>3000</v>
      </c>
      <c r="N38">
        <v>200</v>
      </c>
      <c r="O38">
        <v>3000</v>
      </c>
      <c r="P38">
        <v>1200</v>
      </c>
      <c r="Q38">
        <v>3000</v>
      </c>
      <c r="R38">
        <v>200</v>
      </c>
    </row>
    <row r="39" spans="1:18">
      <c r="A39">
        <v>2055</v>
      </c>
      <c r="B39">
        <v>1200</v>
      </c>
      <c r="C39">
        <v>3000</v>
      </c>
      <c r="D39">
        <v>360</v>
      </c>
      <c r="E39">
        <v>360</v>
      </c>
      <c r="F39">
        <v>360</v>
      </c>
      <c r="G39">
        <v>360</v>
      </c>
      <c r="H39">
        <v>5.0000000000000009</v>
      </c>
      <c r="I39">
        <v>360</v>
      </c>
      <c r="J39">
        <v>360</v>
      </c>
      <c r="K39">
        <v>1200</v>
      </c>
      <c r="L39">
        <v>1200</v>
      </c>
      <c r="M39">
        <v>3000</v>
      </c>
      <c r="N39">
        <v>200</v>
      </c>
      <c r="O39">
        <v>3000</v>
      </c>
      <c r="P39">
        <v>1200</v>
      </c>
      <c r="Q39">
        <v>3000</v>
      </c>
      <c r="R39">
        <v>200</v>
      </c>
    </row>
    <row r="40" spans="1:18">
      <c r="A40">
        <v>2056</v>
      </c>
      <c r="B40">
        <v>1200</v>
      </c>
      <c r="C40">
        <v>3000</v>
      </c>
      <c r="D40">
        <v>360</v>
      </c>
      <c r="E40">
        <v>360</v>
      </c>
      <c r="F40">
        <v>360</v>
      </c>
      <c r="G40">
        <v>360</v>
      </c>
      <c r="H40">
        <v>5.0000000000000009</v>
      </c>
      <c r="I40">
        <v>360</v>
      </c>
      <c r="J40">
        <v>360</v>
      </c>
      <c r="K40">
        <v>1200</v>
      </c>
      <c r="L40">
        <v>1200</v>
      </c>
      <c r="M40">
        <v>3000</v>
      </c>
      <c r="N40">
        <v>200</v>
      </c>
      <c r="O40">
        <v>3000</v>
      </c>
      <c r="P40">
        <v>1200</v>
      </c>
      <c r="Q40">
        <v>3000</v>
      </c>
      <c r="R40">
        <v>200</v>
      </c>
    </row>
    <row r="41" spans="1:18">
      <c r="A41">
        <v>2057</v>
      </c>
      <c r="B41">
        <v>1200</v>
      </c>
      <c r="C41">
        <v>3000</v>
      </c>
      <c r="D41">
        <v>360</v>
      </c>
      <c r="E41">
        <v>360</v>
      </c>
      <c r="F41">
        <v>360</v>
      </c>
      <c r="G41">
        <v>360</v>
      </c>
      <c r="H41">
        <v>5.0000000000000009</v>
      </c>
      <c r="I41">
        <v>360</v>
      </c>
      <c r="J41">
        <v>360</v>
      </c>
      <c r="K41">
        <v>1200</v>
      </c>
      <c r="L41">
        <v>1200</v>
      </c>
      <c r="M41">
        <v>3000</v>
      </c>
      <c r="N41">
        <v>200</v>
      </c>
      <c r="O41">
        <v>3000</v>
      </c>
      <c r="P41">
        <v>1200</v>
      </c>
      <c r="Q41">
        <v>3000</v>
      </c>
      <c r="R41">
        <v>200</v>
      </c>
    </row>
    <row r="42" spans="1:18">
      <c r="A42">
        <v>2058</v>
      </c>
      <c r="B42">
        <v>1200</v>
      </c>
      <c r="C42">
        <v>3000</v>
      </c>
      <c r="D42">
        <v>360</v>
      </c>
      <c r="E42">
        <v>360</v>
      </c>
      <c r="F42">
        <v>360</v>
      </c>
      <c r="G42">
        <v>360</v>
      </c>
      <c r="H42">
        <v>5.0000000000000009</v>
      </c>
      <c r="I42">
        <v>360</v>
      </c>
      <c r="J42">
        <v>360</v>
      </c>
      <c r="K42">
        <v>1200</v>
      </c>
      <c r="L42">
        <v>1200</v>
      </c>
      <c r="M42">
        <v>3000</v>
      </c>
      <c r="N42">
        <v>200</v>
      </c>
      <c r="O42">
        <v>3000</v>
      </c>
      <c r="P42">
        <v>1200</v>
      </c>
      <c r="Q42">
        <v>3000</v>
      </c>
      <c r="R42">
        <v>200</v>
      </c>
    </row>
    <row r="43" spans="1:18">
      <c r="A43">
        <v>2059</v>
      </c>
      <c r="B43">
        <v>1200</v>
      </c>
      <c r="C43">
        <v>3000</v>
      </c>
      <c r="D43">
        <v>360</v>
      </c>
      <c r="E43">
        <v>360</v>
      </c>
      <c r="F43">
        <v>360</v>
      </c>
      <c r="G43">
        <v>360</v>
      </c>
      <c r="H43">
        <v>5.0000000000000009</v>
      </c>
      <c r="I43">
        <v>360</v>
      </c>
      <c r="J43">
        <v>360</v>
      </c>
      <c r="K43">
        <v>1200</v>
      </c>
      <c r="L43">
        <v>1200</v>
      </c>
      <c r="M43">
        <v>3000</v>
      </c>
      <c r="N43">
        <v>200</v>
      </c>
      <c r="O43">
        <v>3000</v>
      </c>
      <c r="P43">
        <v>1200</v>
      </c>
      <c r="Q43">
        <v>3000</v>
      </c>
      <c r="R43">
        <v>200</v>
      </c>
    </row>
    <row r="44" spans="1:18">
      <c r="A44">
        <v>2060</v>
      </c>
      <c r="B44">
        <v>1200</v>
      </c>
      <c r="C44">
        <v>3000</v>
      </c>
      <c r="D44">
        <v>360</v>
      </c>
      <c r="E44">
        <v>360</v>
      </c>
      <c r="F44">
        <v>360</v>
      </c>
      <c r="G44">
        <v>360</v>
      </c>
      <c r="H44">
        <v>5.0000000000000009</v>
      </c>
      <c r="I44">
        <v>360</v>
      </c>
      <c r="J44">
        <v>360</v>
      </c>
      <c r="K44">
        <v>1200</v>
      </c>
      <c r="L44">
        <v>1200</v>
      </c>
      <c r="M44">
        <v>3000</v>
      </c>
      <c r="N44">
        <v>200</v>
      </c>
      <c r="O44">
        <v>3000</v>
      </c>
      <c r="P44">
        <v>1200</v>
      </c>
      <c r="Q44">
        <v>3000</v>
      </c>
      <c r="R44">
        <v>200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/>
  <dimension ref="A1:U4"/>
  <sheetViews>
    <sheetView workbookViewId="0">
      <selection activeCell="X4" sqref="X4"/>
    </sheetView>
  </sheetViews>
  <sheetFormatPr defaultRowHeight="15.6"/>
  <cols>
    <col min="4" max="4" width="13" style="2" hidden="1" customWidth="1"/>
    <col min="6" max="6" width="8.7265625" style="2" customWidth="1"/>
    <col min="10" max="11" width="8.7265625" style="2" customWidth="1"/>
    <col min="16" max="18" width="13" style="2" hidden="1" customWidth="1"/>
    <col min="20" max="21" width="13" style="2" hidden="1" customWidth="1"/>
  </cols>
  <sheetData>
    <row r="1" spans="1:21">
      <c r="B1" t="s">
        <v>31</v>
      </c>
      <c r="C1" t="s">
        <v>32</v>
      </c>
      <c r="D1" t="s">
        <v>33</v>
      </c>
      <c r="E1" t="s">
        <v>34</v>
      </c>
      <c r="F1" t="s">
        <v>36</v>
      </c>
      <c r="G1" t="s">
        <v>37</v>
      </c>
      <c r="H1" t="s">
        <v>38</v>
      </c>
      <c r="I1" t="s">
        <v>41</v>
      </c>
      <c r="J1" t="s">
        <v>42</v>
      </c>
      <c r="K1" t="s">
        <v>40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65</v>
      </c>
      <c r="S1" t="s">
        <v>49</v>
      </c>
      <c r="T1" t="s">
        <v>66</v>
      </c>
      <c r="U1" t="s">
        <v>67</v>
      </c>
    </row>
    <row r="2" spans="1:21" ht="18" customHeight="1">
      <c r="A2" s="4" t="s">
        <v>68</v>
      </c>
      <c r="B2">
        <v>1</v>
      </c>
      <c r="C2">
        <v>1</v>
      </c>
      <c r="D2">
        <v>0.6</v>
      </c>
      <c r="E2">
        <v>0.6</v>
      </c>
      <c r="F2">
        <v>0.6</v>
      </c>
      <c r="G2">
        <v>0.6</v>
      </c>
      <c r="H2">
        <v>0.6</v>
      </c>
      <c r="I2">
        <v>0.6</v>
      </c>
      <c r="J2">
        <v>0.6</v>
      </c>
      <c r="K2">
        <v>0.94</v>
      </c>
      <c r="L2">
        <v>0.94</v>
      </c>
      <c r="M2">
        <v>0.94</v>
      </c>
      <c r="N2">
        <v>0.95</v>
      </c>
      <c r="O2">
        <v>0.7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21" ht="18" customHeight="1">
      <c r="A3" s="4" t="s">
        <v>69</v>
      </c>
      <c r="B3">
        <v>1</v>
      </c>
      <c r="C3">
        <v>1</v>
      </c>
      <c r="D3">
        <v>0.6</v>
      </c>
      <c r="E3">
        <v>0.6</v>
      </c>
      <c r="F3">
        <v>0.6</v>
      </c>
      <c r="G3">
        <v>0.6</v>
      </c>
      <c r="H3">
        <v>0.6</v>
      </c>
      <c r="I3">
        <v>0.6</v>
      </c>
      <c r="J3">
        <v>0.6</v>
      </c>
      <c r="K3">
        <v>0.94</v>
      </c>
      <c r="L3">
        <v>0.94</v>
      </c>
      <c r="M3">
        <v>0.94</v>
      </c>
      <c r="N3">
        <v>0.95</v>
      </c>
      <c r="O3">
        <v>0.7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ht="18" customHeight="1">
      <c r="A4" s="4" t="s">
        <v>70</v>
      </c>
      <c r="B4">
        <v>1</v>
      </c>
      <c r="C4">
        <v>1</v>
      </c>
      <c r="D4">
        <v>0.6</v>
      </c>
      <c r="E4">
        <v>0.6</v>
      </c>
      <c r="F4">
        <v>0.6</v>
      </c>
      <c r="G4">
        <v>0.6</v>
      </c>
      <c r="H4">
        <v>0.6</v>
      </c>
      <c r="I4">
        <v>0.6</v>
      </c>
      <c r="J4">
        <v>0.6</v>
      </c>
      <c r="K4">
        <v>0.94</v>
      </c>
      <c r="L4">
        <v>0.94</v>
      </c>
      <c r="M4">
        <v>0.94</v>
      </c>
      <c r="N4">
        <v>0.95</v>
      </c>
      <c r="O4">
        <v>0.7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"/>
  <dimension ref="A1:Q4"/>
  <sheetViews>
    <sheetView zoomScaleNormal="100" workbookViewId="0">
      <selection activeCell="B2" sqref="B2:Q4"/>
    </sheetView>
  </sheetViews>
  <sheetFormatPr defaultRowHeight="15.6"/>
  <cols>
    <col min="1" max="1" width="17.36328125" style="2" customWidth="1"/>
  </cols>
  <sheetData>
    <row r="1" spans="1:17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</row>
    <row r="2" spans="1:17" ht="18" customHeight="1">
      <c r="A2" s="4" t="s">
        <v>68</v>
      </c>
      <c r="B2">
        <v>1</v>
      </c>
      <c r="C2">
        <v>0.8</v>
      </c>
      <c r="D2">
        <v>0.65</v>
      </c>
      <c r="E2">
        <v>0.51200000000000001</v>
      </c>
      <c r="F2">
        <v>0.44</v>
      </c>
      <c r="G2">
        <v>0.378</v>
      </c>
      <c r="H2">
        <v>0.31</v>
      </c>
      <c r="I2">
        <v>0.245</v>
      </c>
      <c r="J2">
        <v>0.16</v>
      </c>
      <c r="K2">
        <v>0.08</v>
      </c>
      <c r="L2">
        <v>4.3999999999999997E-2</v>
      </c>
      <c r="M2">
        <v>2.58E-2</v>
      </c>
      <c r="N2">
        <v>1.8700000000000001E-2</v>
      </c>
      <c r="O2">
        <v>1.35E-2</v>
      </c>
      <c r="P2">
        <v>9.7999999999999997E-3</v>
      </c>
      <c r="Q2">
        <v>7.1000000000000004E-3</v>
      </c>
    </row>
    <row r="3" spans="1:17" ht="18" customHeight="1">
      <c r="A3" s="4" t="s">
        <v>69</v>
      </c>
      <c r="B3">
        <v>1</v>
      </c>
      <c r="C3">
        <v>0.8</v>
      </c>
      <c r="D3">
        <v>0.65</v>
      </c>
      <c r="E3">
        <v>0.51200000000000001</v>
      </c>
      <c r="F3">
        <v>0.44</v>
      </c>
      <c r="G3">
        <v>0.378</v>
      </c>
      <c r="H3">
        <v>0.31</v>
      </c>
      <c r="I3">
        <v>0.245</v>
      </c>
      <c r="J3">
        <v>0.16</v>
      </c>
      <c r="K3">
        <v>0.08</v>
      </c>
      <c r="L3">
        <v>4.3999999999999997E-2</v>
      </c>
      <c r="M3">
        <v>2.58E-2</v>
      </c>
      <c r="N3">
        <v>1.8700000000000001E-2</v>
      </c>
      <c r="O3">
        <v>1.35E-2</v>
      </c>
      <c r="P3">
        <v>9.7999999999999997E-3</v>
      </c>
      <c r="Q3">
        <v>7.1000000000000004E-3</v>
      </c>
    </row>
    <row r="4" spans="1:17" ht="18" customHeight="1">
      <c r="A4" s="4" t="s">
        <v>70</v>
      </c>
      <c r="B4">
        <v>1</v>
      </c>
      <c r="C4">
        <v>0.8</v>
      </c>
      <c r="D4">
        <v>0.65</v>
      </c>
      <c r="E4">
        <v>0.51200000000000001</v>
      </c>
      <c r="F4">
        <v>0.44</v>
      </c>
      <c r="G4">
        <v>0.378</v>
      </c>
      <c r="H4">
        <v>0.31</v>
      </c>
      <c r="I4">
        <v>0.245</v>
      </c>
      <c r="J4">
        <v>0.16</v>
      </c>
      <c r="K4">
        <v>0.08</v>
      </c>
      <c r="L4">
        <v>4.3999999999999997E-2</v>
      </c>
      <c r="M4">
        <v>2.58E-2</v>
      </c>
      <c r="N4">
        <v>1.8700000000000001E-2</v>
      </c>
      <c r="O4">
        <v>1.35E-2</v>
      </c>
      <c r="P4">
        <v>9.7999999999999997E-3</v>
      </c>
      <c r="Q4">
        <v>7.1000000000000004E-3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44"/>
  <sheetViews>
    <sheetView workbookViewId="0">
      <selection activeCell="S9" sqref="S9"/>
    </sheetView>
  </sheetViews>
  <sheetFormatPr defaultRowHeight="15.6"/>
  <cols>
    <col min="4" max="4" width="13" style="2" hidden="1" customWidth="1"/>
    <col min="6" max="6" width="8.7265625" style="2" customWidth="1"/>
    <col min="10" max="11" width="8.7265625" style="2" customWidth="1"/>
    <col min="16" max="18" width="13" style="2" hidden="1" customWidth="1"/>
    <col min="20" max="21" width="13" style="2" hidden="1" customWidth="1"/>
  </cols>
  <sheetData>
    <row r="1" spans="1:21">
      <c r="A1">
        <v>0</v>
      </c>
      <c r="B1" t="s">
        <v>31</v>
      </c>
      <c r="C1" t="s">
        <v>32</v>
      </c>
      <c r="D1" t="s">
        <v>33</v>
      </c>
      <c r="E1" t="s">
        <v>34</v>
      </c>
      <c r="F1" t="s">
        <v>36</v>
      </c>
      <c r="G1" t="s">
        <v>37</v>
      </c>
      <c r="H1" t="s">
        <v>38</v>
      </c>
      <c r="I1" t="s">
        <v>41</v>
      </c>
      <c r="J1" t="s">
        <v>42</v>
      </c>
      <c r="K1" t="s">
        <v>40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65</v>
      </c>
      <c r="S1" t="s">
        <v>49</v>
      </c>
      <c r="T1" t="s">
        <v>66</v>
      </c>
      <c r="U1" t="s">
        <v>67</v>
      </c>
    </row>
    <row r="2" spans="1:21">
      <c r="A2">
        <v>2018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21">
      <c r="A3">
        <v>2019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>
      <c r="A4">
        <v>2020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>
      <c r="A5">
        <v>2021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>
      <c r="A6">
        <v>2022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>
      <c r="A7">
        <v>2023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>
      <c r="A8">
        <v>2024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>
      <c r="A9">
        <v>2025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1.17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>
      <c r="A10">
        <v>2026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1.17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>
      <c r="A11">
        <v>2027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1.17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>
      <c r="A12">
        <v>2028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1.17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>
      <c r="A13">
        <v>2029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1.17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>
      <c r="A14">
        <v>2030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1.17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>
      <c r="A15">
        <v>2031</v>
      </c>
      <c r="B15">
        <v>1</v>
      </c>
      <c r="C15">
        <v>1</v>
      </c>
      <c r="D15">
        <v>1.36</v>
      </c>
      <c r="E15">
        <v>1.36</v>
      </c>
      <c r="F15">
        <v>1.36</v>
      </c>
      <c r="G15">
        <v>1.36</v>
      </c>
      <c r="H15">
        <v>1.36</v>
      </c>
      <c r="I15">
        <v>1.36</v>
      </c>
      <c r="J15">
        <v>1.36</v>
      </c>
      <c r="K15">
        <v>1.36</v>
      </c>
      <c r="L15">
        <v>1.36</v>
      </c>
      <c r="M15">
        <v>1.36</v>
      </c>
      <c r="N15">
        <v>1.2889999999999999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>
      <c r="A16">
        <v>2032</v>
      </c>
      <c r="B16">
        <v>1</v>
      </c>
      <c r="C16">
        <v>1</v>
      </c>
      <c r="D16">
        <v>1.36</v>
      </c>
      <c r="E16">
        <v>1.36</v>
      </c>
      <c r="F16">
        <v>1.36</v>
      </c>
      <c r="G16">
        <v>1.36</v>
      </c>
      <c r="H16">
        <v>1.36</v>
      </c>
      <c r="I16">
        <v>1.36</v>
      </c>
      <c r="J16">
        <v>1.36</v>
      </c>
      <c r="K16">
        <v>1.36</v>
      </c>
      <c r="L16">
        <v>1.36</v>
      </c>
      <c r="M16">
        <v>1.36</v>
      </c>
      <c r="N16">
        <v>1.2889999999999999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>
      <c r="A17">
        <v>2033</v>
      </c>
      <c r="B17">
        <v>1</v>
      </c>
      <c r="C17">
        <v>1</v>
      </c>
      <c r="D17">
        <v>1.36</v>
      </c>
      <c r="E17">
        <v>1.36</v>
      </c>
      <c r="F17">
        <v>1.36</v>
      </c>
      <c r="G17">
        <v>1.36</v>
      </c>
      <c r="H17">
        <v>1.36</v>
      </c>
      <c r="I17">
        <v>1.36</v>
      </c>
      <c r="J17">
        <v>1.36</v>
      </c>
      <c r="K17">
        <v>1.36</v>
      </c>
      <c r="L17">
        <v>1.36</v>
      </c>
      <c r="M17">
        <v>1.36</v>
      </c>
      <c r="N17">
        <v>1.2889999999999999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>
      <c r="A18">
        <v>2034</v>
      </c>
      <c r="B18">
        <v>1</v>
      </c>
      <c r="C18">
        <v>1</v>
      </c>
      <c r="D18">
        <v>1.36</v>
      </c>
      <c r="E18">
        <v>1.36</v>
      </c>
      <c r="F18">
        <v>1.36</v>
      </c>
      <c r="G18">
        <v>1.36</v>
      </c>
      <c r="H18">
        <v>1.36</v>
      </c>
      <c r="I18">
        <v>1.36</v>
      </c>
      <c r="J18">
        <v>1.36</v>
      </c>
      <c r="K18">
        <v>1.36</v>
      </c>
      <c r="L18">
        <v>1.36</v>
      </c>
      <c r="M18">
        <v>1.36</v>
      </c>
      <c r="N18">
        <v>1.2889999999999999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</row>
    <row r="19" spans="1:21">
      <c r="A19">
        <v>2035</v>
      </c>
      <c r="B19">
        <v>1</v>
      </c>
      <c r="C19">
        <v>1</v>
      </c>
      <c r="D19">
        <v>1.36</v>
      </c>
      <c r="E19">
        <v>1.36</v>
      </c>
      <c r="F19">
        <v>1.36</v>
      </c>
      <c r="G19">
        <v>1.36</v>
      </c>
      <c r="H19">
        <v>1.36</v>
      </c>
      <c r="I19">
        <v>1.36</v>
      </c>
      <c r="J19">
        <v>1.36</v>
      </c>
      <c r="K19">
        <v>1.36</v>
      </c>
      <c r="L19">
        <v>1.36</v>
      </c>
      <c r="M19">
        <v>1.36</v>
      </c>
      <c r="N19">
        <v>1.2889999999999999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</row>
    <row r="20" spans="1:21">
      <c r="A20">
        <v>2036</v>
      </c>
      <c r="B20">
        <v>1</v>
      </c>
      <c r="C20">
        <v>1</v>
      </c>
      <c r="D20">
        <v>1.36</v>
      </c>
      <c r="E20">
        <v>1.36</v>
      </c>
      <c r="F20">
        <v>1.36</v>
      </c>
      <c r="G20">
        <v>1.36</v>
      </c>
      <c r="H20">
        <v>1.36</v>
      </c>
      <c r="I20">
        <v>1.36</v>
      </c>
      <c r="J20">
        <v>1.36</v>
      </c>
      <c r="K20">
        <v>1.36</v>
      </c>
      <c r="L20">
        <v>1.36</v>
      </c>
      <c r="M20">
        <v>1.36</v>
      </c>
      <c r="N20">
        <v>1.2889999999999999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</row>
    <row r="21" spans="1:21">
      <c r="A21">
        <v>2037</v>
      </c>
      <c r="B21">
        <v>1</v>
      </c>
      <c r="C21">
        <v>1</v>
      </c>
      <c r="D21">
        <v>1.36</v>
      </c>
      <c r="E21">
        <v>1.36</v>
      </c>
      <c r="F21">
        <v>1.36</v>
      </c>
      <c r="G21">
        <v>1.36</v>
      </c>
      <c r="H21">
        <v>1.36</v>
      </c>
      <c r="I21">
        <v>1.36</v>
      </c>
      <c r="J21">
        <v>1.36</v>
      </c>
      <c r="K21">
        <v>1.36</v>
      </c>
      <c r="L21">
        <v>1.36</v>
      </c>
      <c r="M21">
        <v>1.36</v>
      </c>
      <c r="N21">
        <v>1.2889999999999999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</row>
    <row r="22" spans="1:21">
      <c r="A22">
        <v>2038</v>
      </c>
      <c r="B22">
        <v>1</v>
      </c>
      <c r="C22">
        <v>1</v>
      </c>
      <c r="D22">
        <v>1.36</v>
      </c>
      <c r="E22">
        <v>1.36</v>
      </c>
      <c r="F22">
        <v>1.36</v>
      </c>
      <c r="G22">
        <v>1.36</v>
      </c>
      <c r="H22">
        <v>1.36</v>
      </c>
      <c r="I22">
        <v>1.36</v>
      </c>
      <c r="J22">
        <v>1.36</v>
      </c>
      <c r="K22">
        <v>1.36</v>
      </c>
      <c r="L22">
        <v>1.36</v>
      </c>
      <c r="M22">
        <v>1.36</v>
      </c>
      <c r="N22">
        <v>1.2889999999999999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</row>
    <row r="23" spans="1:21">
      <c r="A23">
        <v>2039</v>
      </c>
      <c r="B23">
        <v>1</v>
      </c>
      <c r="C23">
        <v>1</v>
      </c>
      <c r="D23">
        <v>1.36</v>
      </c>
      <c r="E23">
        <v>1.36</v>
      </c>
      <c r="F23">
        <v>1.36</v>
      </c>
      <c r="G23">
        <v>1.36</v>
      </c>
      <c r="H23">
        <v>1.36</v>
      </c>
      <c r="I23">
        <v>1.36</v>
      </c>
      <c r="J23">
        <v>1.36</v>
      </c>
      <c r="K23">
        <v>1.36</v>
      </c>
      <c r="L23">
        <v>1.36</v>
      </c>
      <c r="M23">
        <v>1.36</v>
      </c>
      <c r="N23">
        <v>1.2889999999999999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</row>
    <row r="24" spans="1:21">
      <c r="A24">
        <v>2040</v>
      </c>
      <c r="B24">
        <v>1</v>
      </c>
      <c r="C24">
        <v>1</v>
      </c>
      <c r="D24">
        <v>1.9550000000000001</v>
      </c>
      <c r="E24">
        <v>1.9550000000000001</v>
      </c>
      <c r="F24">
        <v>1.9550000000000001</v>
      </c>
      <c r="G24">
        <v>1.9550000000000001</v>
      </c>
      <c r="H24">
        <v>1.9550000000000001</v>
      </c>
      <c r="I24">
        <v>1.9550000000000001</v>
      </c>
      <c r="J24">
        <v>1.9550000000000001</v>
      </c>
      <c r="K24">
        <v>1.9550000000000001</v>
      </c>
      <c r="L24">
        <v>1.9550000000000001</v>
      </c>
      <c r="M24">
        <v>1.9550000000000001</v>
      </c>
      <c r="N24">
        <v>1.36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</row>
    <row r="25" spans="1:21">
      <c r="A25">
        <v>2041</v>
      </c>
      <c r="B25">
        <v>1</v>
      </c>
      <c r="C25">
        <v>1</v>
      </c>
      <c r="D25">
        <v>1.9550000000000001</v>
      </c>
      <c r="E25">
        <v>1.9550000000000001</v>
      </c>
      <c r="F25">
        <v>1.9550000000000001</v>
      </c>
      <c r="G25">
        <v>1.9550000000000001</v>
      </c>
      <c r="H25">
        <v>1.9550000000000001</v>
      </c>
      <c r="I25">
        <v>1.9550000000000001</v>
      </c>
      <c r="J25">
        <v>1.9550000000000001</v>
      </c>
      <c r="K25">
        <v>1.9550000000000001</v>
      </c>
      <c r="L25">
        <v>1.9550000000000001</v>
      </c>
      <c r="M25">
        <v>1.9550000000000001</v>
      </c>
      <c r="N25">
        <v>1.36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</row>
    <row r="26" spans="1:21">
      <c r="A26">
        <v>2042</v>
      </c>
      <c r="B26">
        <v>1</v>
      </c>
      <c r="C26">
        <v>1</v>
      </c>
      <c r="D26">
        <v>1.9550000000000001</v>
      </c>
      <c r="E26">
        <v>1.9550000000000001</v>
      </c>
      <c r="F26">
        <v>1.9550000000000001</v>
      </c>
      <c r="G26">
        <v>1.9550000000000001</v>
      </c>
      <c r="H26">
        <v>1.9550000000000001</v>
      </c>
      <c r="I26">
        <v>1.9550000000000001</v>
      </c>
      <c r="J26">
        <v>1.9550000000000001</v>
      </c>
      <c r="K26">
        <v>1.9550000000000001</v>
      </c>
      <c r="L26">
        <v>1.9550000000000001</v>
      </c>
      <c r="M26">
        <v>1.9550000000000001</v>
      </c>
      <c r="N26">
        <v>1.36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</row>
    <row r="27" spans="1:21">
      <c r="A27">
        <v>2043</v>
      </c>
      <c r="B27">
        <v>1</v>
      </c>
      <c r="C27">
        <v>1</v>
      </c>
      <c r="D27">
        <v>1.9550000000000001</v>
      </c>
      <c r="E27">
        <v>1.9550000000000001</v>
      </c>
      <c r="F27">
        <v>1.9550000000000001</v>
      </c>
      <c r="G27">
        <v>1.9550000000000001</v>
      </c>
      <c r="H27">
        <v>1.9550000000000001</v>
      </c>
      <c r="I27">
        <v>1.9550000000000001</v>
      </c>
      <c r="J27">
        <v>1.9550000000000001</v>
      </c>
      <c r="K27">
        <v>1.9550000000000001</v>
      </c>
      <c r="L27">
        <v>1.9550000000000001</v>
      </c>
      <c r="M27">
        <v>1.9550000000000001</v>
      </c>
      <c r="N27">
        <v>1.36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</row>
    <row r="28" spans="1:21">
      <c r="A28">
        <v>2044</v>
      </c>
      <c r="B28">
        <v>1</v>
      </c>
      <c r="C28">
        <v>1</v>
      </c>
      <c r="D28">
        <v>1.9550000000000001</v>
      </c>
      <c r="E28">
        <v>1.9550000000000001</v>
      </c>
      <c r="F28">
        <v>1.9550000000000001</v>
      </c>
      <c r="G28">
        <v>1.9550000000000001</v>
      </c>
      <c r="H28">
        <v>1.9550000000000001</v>
      </c>
      <c r="I28">
        <v>1.9550000000000001</v>
      </c>
      <c r="J28">
        <v>1.9550000000000001</v>
      </c>
      <c r="K28">
        <v>1.9550000000000001</v>
      </c>
      <c r="L28">
        <v>1.9550000000000001</v>
      </c>
      <c r="M28">
        <v>1.9550000000000001</v>
      </c>
      <c r="N28">
        <v>1.36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</row>
    <row r="29" spans="1:21">
      <c r="A29">
        <v>2045</v>
      </c>
      <c r="B29">
        <v>1</v>
      </c>
      <c r="C29">
        <v>1</v>
      </c>
      <c r="D29">
        <v>1.9550000000000001</v>
      </c>
      <c r="E29">
        <v>1.9550000000000001</v>
      </c>
      <c r="F29">
        <v>1.9550000000000001</v>
      </c>
      <c r="G29">
        <v>1.9550000000000001</v>
      </c>
      <c r="H29">
        <v>1.9550000000000001</v>
      </c>
      <c r="I29">
        <v>1.9550000000000001</v>
      </c>
      <c r="J29">
        <v>1.9550000000000001</v>
      </c>
      <c r="K29">
        <v>1.9550000000000001</v>
      </c>
      <c r="L29">
        <v>1.9550000000000001</v>
      </c>
      <c r="M29">
        <v>1.9550000000000001</v>
      </c>
      <c r="N29">
        <v>1.36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</row>
    <row r="30" spans="1:21">
      <c r="A30">
        <v>2046</v>
      </c>
      <c r="B30">
        <v>1</v>
      </c>
      <c r="C30">
        <v>1</v>
      </c>
      <c r="D30">
        <v>1.9550000000000001</v>
      </c>
      <c r="E30">
        <v>1.9550000000000001</v>
      </c>
      <c r="F30">
        <v>1.9550000000000001</v>
      </c>
      <c r="G30">
        <v>1.9550000000000001</v>
      </c>
      <c r="H30">
        <v>1.9550000000000001</v>
      </c>
      <c r="I30">
        <v>1.9550000000000001</v>
      </c>
      <c r="J30">
        <v>1.9550000000000001</v>
      </c>
      <c r="K30">
        <v>1.9550000000000001</v>
      </c>
      <c r="L30">
        <v>1.9550000000000001</v>
      </c>
      <c r="M30">
        <v>1.9550000000000001</v>
      </c>
      <c r="N30">
        <v>1.36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</row>
    <row r="31" spans="1:21">
      <c r="A31">
        <v>2047</v>
      </c>
      <c r="B31">
        <v>1</v>
      </c>
      <c r="C31">
        <v>1</v>
      </c>
      <c r="D31">
        <v>1.9550000000000001</v>
      </c>
      <c r="E31">
        <v>1.9550000000000001</v>
      </c>
      <c r="F31">
        <v>1.9550000000000001</v>
      </c>
      <c r="G31">
        <v>1.9550000000000001</v>
      </c>
      <c r="H31">
        <v>1.9550000000000001</v>
      </c>
      <c r="I31">
        <v>1.9550000000000001</v>
      </c>
      <c r="J31">
        <v>1.9550000000000001</v>
      </c>
      <c r="K31">
        <v>1.9550000000000001</v>
      </c>
      <c r="L31">
        <v>1.9550000000000001</v>
      </c>
      <c r="M31">
        <v>1.9550000000000001</v>
      </c>
      <c r="N31">
        <v>1.36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</row>
    <row r="32" spans="1:21">
      <c r="A32">
        <v>2048</v>
      </c>
      <c r="B32">
        <v>1</v>
      </c>
      <c r="C32">
        <v>1</v>
      </c>
      <c r="D32">
        <v>1.9550000000000001</v>
      </c>
      <c r="E32">
        <v>1.9550000000000001</v>
      </c>
      <c r="F32">
        <v>1.9550000000000001</v>
      </c>
      <c r="G32">
        <v>1.9550000000000001</v>
      </c>
      <c r="H32">
        <v>1.9550000000000001</v>
      </c>
      <c r="I32">
        <v>1.9550000000000001</v>
      </c>
      <c r="J32">
        <v>1.9550000000000001</v>
      </c>
      <c r="K32">
        <v>1.9550000000000001</v>
      </c>
      <c r="L32">
        <v>1.9550000000000001</v>
      </c>
      <c r="M32">
        <v>1.9550000000000001</v>
      </c>
      <c r="N32">
        <v>1.36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</row>
    <row r="33" spans="1:21">
      <c r="A33">
        <v>2049</v>
      </c>
      <c r="B33">
        <v>1</v>
      </c>
      <c r="C33">
        <v>1</v>
      </c>
      <c r="D33">
        <v>1.9550000000000001</v>
      </c>
      <c r="E33">
        <v>1.9550000000000001</v>
      </c>
      <c r="F33">
        <v>1.9550000000000001</v>
      </c>
      <c r="G33">
        <v>1.9550000000000001</v>
      </c>
      <c r="H33">
        <v>1.9550000000000001</v>
      </c>
      <c r="I33">
        <v>1.9550000000000001</v>
      </c>
      <c r="J33">
        <v>1.9550000000000001</v>
      </c>
      <c r="K33">
        <v>1.9550000000000001</v>
      </c>
      <c r="L33">
        <v>1.9550000000000001</v>
      </c>
      <c r="M33">
        <v>1.9550000000000001</v>
      </c>
      <c r="N33">
        <v>1.36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</row>
    <row r="34" spans="1:21">
      <c r="A34">
        <v>2050</v>
      </c>
      <c r="B34">
        <v>1</v>
      </c>
      <c r="C34">
        <v>1</v>
      </c>
      <c r="D34">
        <v>1.9550000000000001</v>
      </c>
      <c r="E34">
        <v>1.9550000000000001</v>
      </c>
      <c r="F34">
        <v>1.9550000000000001</v>
      </c>
      <c r="G34">
        <v>1.9550000000000001</v>
      </c>
      <c r="H34">
        <v>1.9550000000000001</v>
      </c>
      <c r="I34">
        <v>1.9550000000000001</v>
      </c>
      <c r="J34">
        <v>1.9550000000000001</v>
      </c>
      <c r="K34">
        <v>1.9550000000000001</v>
      </c>
      <c r="L34">
        <v>1.9550000000000001</v>
      </c>
      <c r="M34">
        <v>1.9550000000000001</v>
      </c>
      <c r="N34">
        <v>1.36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</row>
    <row r="35" spans="1:21">
      <c r="A35">
        <v>2051</v>
      </c>
      <c r="B35">
        <v>1</v>
      </c>
      <c r="C35">
        <v>1</v>
      </c>
      <c r="D35">
        <v>2.75</v>
      </c>
      <c r="E35">
        <v>2.75</v>
      </c>
      <c r="F35">
        <v>2.75</v>
      </c>
      <c r="G35">
        <v>2.75</v>
      </c>
      <c r="H35">
        <v>2.75</v>
      </c>
      <c r="I35">
        <v>2.75</v>
      </c>
      <c r="J35">
        <v>2.75</v>
      </c>
      <c r="K35">
        <v>2.75</v>
      </c>
      <c r="L35">
        <v>2.75</v>
      </c>
      <c r="M35">
        <v>2.75</v>
      </c>
      <c r="N35">
        <v>1.36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</row>
    <row r="36" spans="1:21">
      <c r="A36">
        <v>2052</v>
      </c>
      <c r="B36">
        <v>1</v>
      </c>
      <c r="C36">
        <v>1</v>
      </c>
      <c r="D36">
        <v>2.75</v>
      </c>
      <c r="E36">
        <v>2.75</v>
      </c>
      <c r="F36">
        <v>2.75</v>
      </c>
      <c r="G36">
        <v>2.75</v>
      </c>
      <c r="H36">
        <v>2.75</v>
      </c>
      <c r="I36">
        <v>2.75</v>
      </c>
      <c r="J36">
        <v>2.75</v>
      </c>
      <c r="K36">
        <v>2.75</v>
      </c>
      <c r="L36">
        <v>2.75</v>
      </c>
      <c r="M36">
        <v>2.75</v>
      </c>
      <c r="N36">
        <v>1.36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</row>
    <row r="37" spans="1:21">
      <c r="A37">
        <v>2053</v>
      </c>
      <c r="B37">
        <v>1</v>
      </c>
      <c r="C37">
        <v>1</v>
      </c>
      <c r="D37">
        <v>2.75</v>
      </c>
      <c r="E37">
        <v>2.75</v>
      </c>
      <c r="F37">
        <v>2.75</v>
      </c>
      <c r="G37">
        <v>2.75</v>
      </c>
      <c r="H37">
        <v>2.75</v>
      </c>
      <c r="I37">
        <v>2.75</v>
      </c>
      <c r="J37">
        <v>2.75</v>
      </c>
      <c r="K37">
        <v>2.75</v>
      </c>
      <c r="L37">
        <v>2.75</v>
      </c>
      <c r="M37">
        <v>2.75</v>
      </c>
      <c r="N37">
        <v>1.36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</row>
    <row r="38" spans="1:21">
      <c r="A38">
        <v>2054</v>
      </c>
      <c r="B38">
        <v>1</v>
      </c>
      <c r="C38">
        <v>1</v>
      </c>
      <c r="D38">
        <v>2.75</v>
      </c>
      <c r="E38">
        <v>2.75</v>
      </c>
      <c r="F38">
        <v>2.75</v>
      </c>
      <c r="G38">
        <v>2.75</v>
      </c>
      <c r="H38">
        <v>2.75</v>
      </c>
      <c r="I38">
        <v>2.75</v>
      </c>
      <c r="J38">
        <v>2.75</v>
      </c>
      <c r="K38">
        <v>2.75</v>
      </c>
      <c r="L38">
        <v>2.75</v>
      </c>
      <c r="M38">
        <v>2.75</v>
      </c>
      <c r="N38">
        <v>1.36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</row>
    <row r="39" spans="1:21">
      <c r="A39">
        <v>2055</v>
      </c>
      <c r="B39">
        <v>1</v>
      </c>
      <c r="C39">
        <v>1</v>
      </c>
      <c r="D39">
        <v>2.75</v>
      </c>
      <c r="E39">
        <v>2.75</v>
      </c>
      <c r="F39">
        <v>2.75</v>
      </c>
      <c r="G39">
        <v>2.75</v>
      </c>
      <c r="H39">
        <v>2.75</v>
      </c>
      <c r="I39">
        <v>2.75</v>
      </c>
      <c r="J39">
        <v>2.75</v>
      </c>
      <c r="K39">
        <v>2.75</v>
      </c>
      <c r="L39">
        <v>2.75</v>
      </c>
      <c r="M39">
        <v>2.75</v>
      </c>
      <c r="N39">
        <v>1.36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</row>
    <row r="40" spans="1:21">
      <c r="A40">
        <v>2056</v>
      </c>
      <c r="B40">
        <v>1</v>
      </c>
      <c r="C40">
        <v>1</v>
      </c>
      <c r="D40">
        <v>2.75</v>
      </c>
      <c r="E40">
        <v>2.75</v>
      </c>
      <c r="F40">
        <v>2.75</v>
      </c>
      <c r="G40">
        <v>2.75</v>
      </c>
      <c r="H40">
        <v>2.75</v>
      </c>
      <c r="I40">
        <v>2.75</v>
      </c>
      <c r="J40">
        <v>2.75</v>
      </c>
      <c r="K40">
        <v>2.75</v>
      </c>
      <c r="L40">
        <v>2.75</v>
      </c>
      <c r="M40">
        <v>2.75</v>
      </c>
      <c r="N40">
        <v>1.36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</row>
    <row r="41" spans="1:21">
      <c r="A41">
        <v>2057</v>
      </c>
      <c r="B41">
        <v>1</v>
      </c>
      <c r="C41">
        <v>1</v>
      </c>
      <c r="D41">
        <v>2.75</v>
      </c>
      <c r="E41">
        <v>2.75</v>
      </c>
      <c r="F41">
        <v>2.75</v>
      </c>
      <c r="G41">
        <v>2.75</v>
      </c>
      <c r="H41">
        <v>2.75</v>
      </c>
      <c r="I41">
        <v>2.75</v>
      </c>
      <c r="J41">
        <v>2.75</v>
      </c>
      <c r="K41">
        <v>2.75</v>
      </c>
      <c r="L41">
        <v>2.75</v>
      </c>
      <c r="M41">
        <v>2.75</v>
      </c>
      <c r="N41">
        <v>1.36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</row>
    <row r="42" spans="1:21">
      <c r="A42">
        <v>2058</v>
      </c>
      <c r="B42">
        <v>1</v>
      </c>
      <c r="C42">
        <v>1</v>
      </c>
      <c r="D42">
        <v>2.75</v>
      </c>
      <c r="E42">
        <v>2.75</v>
      </c>
      <c r="F42">
        <v>2.75</v>
      </c>
      <c r="G42">
        <v>2.75</v>
      </c>
      <c r="H42">
        <v>2.75</v>
      </c>
      <c r="I42">
        <v>2.75</v>
      </c>
      <c r="J42">
        <v>2.75</v>
      </c>
      <c r="K42">
        <v>2.75</v>
      </c>
      <c r="L42">
        <v>2.75</v>
      </c>
      <c r="M42">
        <v>2.75</v>
      </c>
      <c r="N42">
        <v>1.36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</row>
    <row r="43" spans="1:21">
      <c r="A43">
        <v>2059</v>
      </c>
      <c r="B43">
        <v>1</v>
      </c>
      <c r="C43">
        <v>1</v>
      </c>
      <c r="D43">
        <v>2.75</v>
      </c>
      <c r="E43">
        <v>2.75</v>
      </c>
      <c r="F43">
        <v>2.75</v>
      </c>
      <c r="G43">
        <v>2.75</v>
      </c>
      <c r="H43">
        <v>2.75</v>
      </c>
      <c r="I43">
        <v>2.75</v>
      </c>
      <c r="J43">
        <v>2.75</v>
      </c>
      <c r="K43">
        <v>2.75</v>
      </c>
      <c r="L43">
        <v>2.75</v>
      </c>
      <c r="M43">
        <v>2.75</v>
      </c>
      <c r="N43">
        <v>1.36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</row>
    <row r="44" spans="1:21">
      <c r="A44">
        <v>2060</v>
      </c>
      <c r="B44">
        <v>1</v>
      </c>
      <c r="C44">
        <v>1</v>
      </c>
      <c r="D44">
        <v>2.75</v>
      </c>
      <c r="E44">
        <v>2.75</v>
      </c>
      <c r="F44">
        <v>2.75</v>
      </c>
      <c r="G44">
        <v>2.75</v>
      </c>
      <c r="H44">
        <v>2.75</v>
      </c>
      <c r="I44">
        <v>2.75</v>
      </c>
      <c r="J44">
        <v>2.75</v>
      </c>
      <c r="K44">
        <v>2.75</v>
      </c>
      <c r="L44">
        <v>2.75</v>
      </c>
      <c r="M44">
        <v>2.75</v>
      </c>
      <c r="N44">
        <v>1.36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44"/>
  <sheetViews>
    <sheetView workbookViewId="0">
      <selection activeCell="K6" sqref="K6"/>
    </sheetView>
  </sheetViews>
  <sheetFormatPr defaultRowHeight="15.6"/>
  <cols>
    <col min="4" max="4" width="13" style="2" hidden="1" customWidth="1"/>
    <col min="6" max="6" width="8.7265625" style="2" customWidth="1"/>
    <col min="10" max="11" width="8.7265625" style="2" customWidth="1"/>
    <col min="16" max="18" width="13" style="2" hidden="1" customWidth="1"/>
    <col min="20" max="21" width="13" style="2" hidden="1" customWidth="1"/>
  </cols>
  <sheetData>
    <row r="1" spans="1:21">
      <c r="A1">
        <v>0</v>
      </c>
      <c r="B1" t="s">
        <v>31</v>
      </c>
      <c r="C1" t="s">
        <v>32</v>
      </c>
      <c r="D1" t="s">
        <v>33</v>
      </c>
      <c r="E1" t="s">
        <v>34</v>
      </c>
      <c r="F1" t="s">
        <v>36</v>
      </c>
      <c r="G1" t="s">
        <v>37</v>
      </c>
      <c r="H1" t="s">
        <v>38</v>
      </c>
      <c r="I1" t="s">
        <v>41</v>
      </c>
      <c r="J1" t="s">
        <v>42</v>
      </c>
      <c r="K1" t="s">
        <v>40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65</v>
      </c>
      <c r="S1" t="s">
        <v>49</v>
      </c>
      <c r="T1" t="s">
        <v>66</v>
      </c>
      <c r="U1" t="s">
        <v>67</v>
      </c>
    </row>
    <row r="2" spans="1:21">
      <c r="A2">
        <v>2018</v>
      </c>
      <c r="B2">
        <v>0</v>
      </c>
      <c r="C2">
        <v>0</v>
      </c>
      <c r="D2">
        <v>1300</v>
      </c>
      <c r="E2">
        <v>1300</v>
      </c>
      <c r="F2">
        <v>1300</v>
      </c>
      <c r="G2">
        <v>1300</v>
      </c>
      <c r="H2">
        <v>1300</v>
      </c>
      <c r="I2">
        <v>1300</v>
      </c>
      <c r="J2">
        <v>1300</v>
      </c>
      <c r="K2">
        <v>1300</v>
      </c>
      <c r="L2">
        <v>1300</v>
      </c>
      <c r="M2">
        <v>1300</v>
      </c>
      <c r="N2">
        <v>1300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>
        <v>2019</v>
      </c>
      <c r="B3">
        <v>0</v>
      </c>
      <c r="C3">
        <v>0</v>
      </c>
      <c r="D3">
        <v>1300</v>
      </c>
      <c r="E3">
        <v>1300</v>
      </c>
      <c r="F3">
        <v>1300</v>
      </c>
      <c r="G3">
        <v>1300</v>
      </c>
      <c r="H3">
        <v>1300</v>
      </c>
      <c r="I3">
        <v>1300</v>
      </c>
      <c r="J3">
        <v>1300</v>
      </c>
      <c r="K3">
        <v>1300</v>
      </c>
      <c r="L3">
        <v>1300</v>
      </c>
      <c r="M3">
        <v>1300</v>
      </c>
      <c r="N3">
        <v>1300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>
        <v>2020</v>
      </c>
      <c r="B4">
        <v>0</v>
      </c>
      <c r="C4">
        <v>0</v>
      </c>
      <c r="D4">
        <v>1300</v>
      </c>
      <c r="E4">
        <v>1300</v>
      </c>
      <c r="F4">
        <v>1300</v>
      </c>
      <c r="G4">
        <v>1300</v>
      </c>
      <c r="H4">
        <v>1300</v>
      </c>
      <c r="I4">
        <v>1300</v>
      </c>
      <c r="J4">
        <v>1300</v>
      </c>
      <c r="K4">
        <v>1300</v>
      </c>
      <c r="L4">
        <v>1300</v>
      </c>
      <c r="M4">
        <v>1300</v>
      </c>
      <c r="N4">
        <v>1300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  <row r="5" spans="1:21">
      <c r="A5">
        <v>2021</v>
      </c>
      <c r="B5">
        <v>0</v>
      </c>
      <c r="C5">
        <v>0</v>
      </c>
      <c r="D5">
        <v>1250</v>
      </c>
      <c r="E5">
        <v>1250</v>
      </c>
      <c r="F5">
        <v>1250</v>
      </c>
      <c r="G5">
        <v>1250</v>
      </c>
      <c r="H5">
        <v>1250</v>
      </c>
      <c r="I5">
        <v>1250</v>
      </c>
      <c r="J5">
        <v>1250</v>
      </c>
      <c r="K5">
        <v>1250</v>
      </c>
      <c r="L5">
        <v>1250</v>
      </c>
      <c r="M5">
        <v>1250</v>
      </c>
      <c r="N5">
        <v>1250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</row>
    <row r="6" spans="1:21">
      <c r="A6">
        <v>2022</v>
      </c>
      <c r="B6">
        <v>0</v>
      </c>
      <c r="C6">
        <v>0</v>
      </c>
      <c r="D6">
        <v>1100</v>
      </c>
      <c r="E6">
        <v>1100</v>
      </c>
      <c r="F6">
        <v>1100</v>
      </c>
      <c r="G6">
        <v>1100</v>
      </c>
      <c r="H6">
        <v>1100</v>
      </c>
      <c r="I6">
        <v>1100</v>
      </c>
      <c r="J6">
        <v>1100</v>
      </c>
      <c r="K6">
        <v>1100</v>
      </c>
      <c r="L6">
        <v>1100</v>
      </c>
      <c r="M6">
        <v>1100</v>
      </c>
      <c r="N6">
        <v>1100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</row>
    <row r="7" spans="1:21">
      <c r="A7">
        <v>2023</v>
      </c>
      <c r="B7">
        <v>0</v>
      </c>
      <c r="C7">
        <v>0</v>
      </c>
      <c r="D7">
        <v>1000</v>
      </c>
      <c r="E7">
        <v>1000</v>
      </c>
      <c r="F7">
        <v>1000</v>
      </c>
      <c r="G7">
        <v>1000</v>
      </c>
      <c r="H7">
        <v>1000</v>
      </c>
      <c r="I7">
        <v>1000</v>
      </c>
      <c r="J7">
        <v>1000</v>
      </c>
      <c r="K7">
        <v>1000</v>
      </c>
      <c r="L7">
        <v>1000</v>
      </c>
      <c r="M7">
        <v>1000</v>
      </c>
      <c r="N7">
        <v>1000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</row>
    <row r="8" spans="1:21">
      <c r="A8">
        <v>2024</v>
      </c>
      <c r="B8">
        <v>0</v>
      </c>
      <c r="C8">
        <v>0</v>
      </c>
      <c r="D8">
        <v>957.14285714285711</v>
      </c>
      <c r="E8">
        <v>957.14285714285711</v>
      </c>
      <c r="F8">
        <v>957.14285714285711</v>
      </c>
      <c r="G8">
        <v>957.14285714285711</v>
      </c>
      <c r="H8">
        <v>957.14285714285711</v>
      </c>
      <c r="I8">
        <v>957.14285714285711</v>
      </c>
      <c r="J8">
        <v>957.14285714285711</v>
      </c>
      <c r="K8">
        <v>957.142857142857</v>
      </c>
      <c r="L8">
        <v>957.142857142857</v>
      </c>
      <c r="M8">
        <v>957.142857142857</v>
      </c>
      <c r="N8">
        <v>957.142857142857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1:21">
      <c r="A9">
        <v>2025</v>
      </c>
      <c r="B9">
        <v>0</v>
      </c>
      <c r="C9">
        <v>0</v>
      </c>
      <c r="D9">
        <v>914.28571428571422</v>
      </c>
      <c r="E9">
        <v>914.28571428571422</v>
      </c>
      <c r="F9">
        <v>914.28571428571422</v>
      </c>
      <c r="G9">
        <v>914.28571428571422</v>
      </c>
      <c r="H9">
        <v>914.28571428571422</v>
      </c>
      <c r="I9">
        <v>914.28571428571422</v>
      </c>
      <c r="J9">
        <v>914.28571428571422</v>
      </c>
      <c r="K9">
        <v>914.28571428571399</v>
      </c>
      <c r="L9">
        <v>914.28571428571399</v>
      </c>
      <c r="M9">
        <v>914.28571428571399</v>
      </c>
      <c r="N9">
        <v>914.28571428571399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</row>
    <row r="10" spans="1:21">
      <c r="A10">
        <v>2026</v>
      </c>
      <c r="B10">
        <v>0</v>
      </c>
      <c r="C10">
        <v>0</v>
      </c>
      <c r="D10">
        <v>871.42857142857133</v>
      </c>
      <c r="E10">
        <v>871.42857142857133</v>
      </c>
      <c r="F10">
        <v>871.42857142857133</v>
      </c>
      <c r="G10">
        <v>871.42857142857133</v>
      </c>
      <c r="H10">
        <v>871.42857142857133</v>
      </c>
      <c r="I10">
        <v>871.42857142857133</v>
      </c>
      <c r="J10">
        <v>871.42857142857133</v>
      </c>
      <c r="K10">
        <v>871.42857142857099</v>
      </c>
      <c r="L10">
        <v>871.42857142857099</v>
      </c>
      <c r="M10">
        <v>871.42857142857099</v>
      </c>
      <c r="N10">
        <v>871.42857142857099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</row>
    <row r="11" spans="1:21">
      <c r="A11">
        <v>2027</v>
      </c>
      <c r="B11">
        <v>0</v>
      </c>
      <c r="C11">
        <v>0</v>
      </c>
      <c r="D11">
        <v>828.57142857142844</v>
      </c>
      <c r="E11">
        <v>828.57142857142844</v>
      </c>
      <c r="F11">
        <v>828.57142857142844</v>
      </c>
      <c r="G11">
        <v>828.57142857142844</v>
      </c>
      <c r="H11">
        <v>828.57142857142844</v>
      </c>
      <c r="I11">
        <v>828.57142857142844</v>
      </c>
      <c r="J11">
        <v>828.57142857142844</v>
      </c>
      <c r="K11">
        <v>828.57142857142799</v>
      </c>
      <c r="L11">
        <v>828.57142857142799</v>
      </c>
      <c r="M11">
        <v>828.57142857142799</v>
      </c>
      <c r="N11">
        <v>828.57142857142799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</row>
    <row r="12" spans="1:21">
      <c r="A12">
        <v>2028</v>
      </c>
      <c r="B12">
        <v>0</v>
      </c>
      <c r="C12">
        <v>0</v>
      </c>
      <c r="D12">
        <v>785.71428571428555</v>
      </c>
      <c r="E12">
        <v>785.71428571428555</v>
      </c>
      <c r="F12">
        <v>785.71428571428555</v>
      </c>
      <c r="G12">
        <v>785.71428571428555</v>
      </c>
      <c r="H12">
        <v>785.71428571428555</v>
      </c>
      <c r="I12">
        <v>785.71428571428555</v>
      </c>
      <c r="J12">
        <v>785.71428571428555</v>
      </c>
      <c r="K12">
        <v>785.71428571428601</v>
      </c>
      <c r="L12">
        <v>785.71428571428601</v>
      </c>
      <c r="M12">
        <v>785.71428571428601</v>
      </c>
      <c r="N12">
        <v>785.71428571428601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</row>
    <row r="13" spans="1:21">
      <c r="A13">
        <v>2029</v>
      </c>
      <c r="B13">
        <v>0</v>
      </c>
      <c r="C13">
        <v>0</v>
      </c>
      <c r="D13">
        <v>742.85714285714266</v>
      </c>
      <c r="E13">
        <v>742.85714285714266</v>
      </c>
      <c r="F13">
        <v>742.85714285714266</v>
      </c>
      <c r="G13">
        <v>742.85714285714266</v>
      </c>
      <c r="H13">
        <v>742.85714285714266</v>
      </c>
      <c r="I13">
        <v>742.85714285714266</v>
      </c>
      <c r="J13">
        <v>742.85714285714266</v>
      </c>
      <c r="K13">
        <v>742.857142857143</v>
      </c>
      <c r="L13">
        <v>742.857142857143</v>
      </c>
      <c r="M13">
        <v>742.857142857143</v>
      </c>
      <c r="N13">
        <v>742.857142857143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</row>
    <row r="14" spans="1:21" s="8" customFormat="1">
      <c r="A14" s="8">
        <v>2030</v>
      </c>
      <c r="B14" s="8">
        <v>0</v>
      </c>
      <c r="C14" s="8">
        <v>0</v>
      </c>
      <c r="D14" s="8">
        <v>699.99999999999977</v>
      </c>
      <c r="E14" s="8">
        <v>699.99999999999977</v>
      </c>
      <c r="F14" s="8">
        <v>699.99999999999977</v>
      </c>
      <c r="G14" s="8">
        <v>700</v>
      </c>
      <c r="H14" s="8">
        <v>699.99999999999977</v>
      </c>
      <c r="I14" s="8">
        <v>699.99999999999977</v>
      </c>
      <c r="J14" s="8">
        <v>699.99999999999977</v>
      </c>
      <c r="K14" s="8">
        <v>700</v>
      </c>
      <c r="L14" s="8">
        <v>700</v>
      </c>
      <c r="M14" s="8">
        <v>700</v>
      </c>
      <c r="N14" s="8">
        <v>700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</row>
    <row r="15" spans="1:21">
      <c r="A15">
        <v>2031</v>
      </c>
      <c r="B15">
        <v>0</v>
      </c>
      <c r="C15">
        <v>0</v>
      </c>
      <c r="D15">
        <v>694.99999999999977</v>
      </c>
      <c r="E15">
        <v>694.99999999999977</v>
      </c>
      <c r="F15">
        <v>694.99999999999977</v>
      </c>
      <c r="G15">
        <v>694.99999999999977</v>
      </c>
      <c r="H15">
        <v>694.99999999999977</v>
      </c>
      <c r="I15">
        <v>694.99999999999977</v>
      </c>
      <c r="J15">
        <v>694.99999999999977</v>
      </c>
      <c r="K15">
        <v>695</v>
      </c>
      <c r="L15">
        <v>695</v>
      </c>
      <c r="M15">
        <v>695</v>
      </c>
      <c r="N15">
        <v>695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A16">
        <v>2032</v>
      </c>
      <c r="B16">
        <v>0</v>
      </c>
      <c r="C16">
        <v>0</v>
      </c>
      <c r="D16">
        <v>689.99999999999977</v>
      </c>
      <c r="E16">
        <v>689.99999999999977</v>
      </c>
      <c r="F16">
        <v>689.99999999999977</v>
      </c>
      <c r="G16">
        <v>689.99999999999977</v>
      </c>
      <c r="H16">
        <v>689.99999999999977</v>
      </c>
      <c r="I16">
        <v>689.99999999999977</v>
      </c>
      <c r="J16">
        <v>689.99999999999977</v>
      </c>
      <c r="K16">
        <v>690</v>
      </c>
      <c r="L16">
        <v>690</v>
      </c>
      <c r="M16">
        <v>690</v>
      </c>
      <c r="N16">
        <v>690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1:21">
      <c r="A17">
        <v>2033</v>
      </c>
      <c r="B17">
        <v>0</v>
      </c>
      <c r="C17">
        <v>0</v>
      </c>
      <c r="D17">
        <v>684.99999999999989</v>
      </c>
      <c r="E17">
        <v>684.99999999999989</v>
      </c>
      <c r="F17">
        <v>684.99999999999989</v>
      </c>
      <c r="G17">
        <v>684.99999999999989</v>
      </c>
      <c r="H17">
        <v>684.99999999999989</v>
      </c>
      <c r="I17">
        <v>684.99999999999989</v>
      </c>
      <c r="J17">
        <v>684.99999999999989</v>
      </c>
      <c r="K17">
        <v>685</v>
      </c>
      <c r="L17">
        <v>685</v>
      </c>
      <c r="M17">
        <v>685</v>
      </c>
      <c r="N17">
        <v>685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</row>
    <row r="18" spans="1:21">
      <c r="A18">
        <v>2034</v>
      </c>
      <c r="B18">
        <v>0</v>
      </c>
      <c r="C18">
        <v>0</v>
      </c>
      <c r="D18">
        <v>679.99999999999989</v>
      </c>
      <c r="E18">
        <v>679.99999999999989</v>
      </c>
      <c r="F18">
        <v>679.99999999999989</v>
      </c>
      <c r="G18">
        <v>679.99999999999989</v>
      </c>
      <c r="H18">
        <v>679.99999999999989</v>
      </c>
      <c r="I18">
        <v>679.99999999999989</v>
      </c>
      <c r="J18">
        <v>679.99999999999989</v>
      </c>
      <c r="K18">
        <v>680</v>
      </c>
      <c r="L18">
        <v>680</v>
      </c>
      <c r="M18">
        <v>680</v>
      </c>
      <c r="N18">
        <v>680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>
      <c r="A19">
        <v>2035</v>
      </c>
      <c r="B19">
        <v>0</v>
      </c>
      <c r="C19">
        <v>0</v>
      </c>
      <c r="D19">
        <v>674.99999999999989</v>
      </c>
      <c r="E19">
        <v>674.99999999999989</v>
      </c>
      <c r="F19">
        <v>674.99999999999989</v>
      </c>
      <c r="G19">
        <v>674.99999999999989</v>
      </c>
      <c r="H19">
        <v>674.99999999999989</v>
      </c>
      <c r="I19">
        <v>674.99999999999989</v>
      </c>
      <c r="J19">
        <v>674.99999999999989</v>
      </c>
      <c r="K19">
        <v>675</v>
      </c>
      <c r="L19">
        <v>675</v>
      </c>
      <c r="M19">
        <v>675</v>
      </c>
      <c r="N19">
        <v>675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</row>
    <row r="20" spans="1:21">
      <c r="A20">
        <v>2036</v>
      </c>
      <c r="B20">
        <v>0</v>
      </c>
      <c r="C20">
        <v>0</v>
      </c>
      <c r="D20">
        <v>669.99999999999989</v>
      </c>
      <c r="E20">
        <v>669.99999999999989</v>
      </c>
      <c r="F20">
        <v>669.99999999999989</v>
      </c>
      <c r="G20">
        <v>669.99999999999989</v>
      </c>
      <c r="H20">
        <v>669.99999999999989</v>
      </c>
      <c r="I20">
        <v>669.99999999999989</v>
      </c>
      <c r="J20">
        <v>669.99999999999989</v>
      </c>
      <c r="K20">
        <v>670</v>
      </c>
      <c r="L20">
        <v>670</v>
      </c>
      <c r="M20">
        <v>670</v>
      </c>
      <c r="N20">
        <v>670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>
      <c r="A21">
        <v>2037</v>
      </c>
      <c r="B21">
        <v>0</v>
      </c>
      <c r="C21">
        <v>0</v>
      </c>
      <c r="D21">
        <v>664.99999999999989</v>
      </c>
      <c r="E21">
        <v>664.99999999999989</v>
      </c>
      <c r="F21">
        <v>664.99999999999989</v>
      </c>
      <c r="G21">
        <v>664.99999999999989</v>
      </c>
      <c r="H21">
        <v>664.99999999999989</v>
      </c>
      <c r="I21">
        <v>664.99999999999989</v>
      </c>
      <c r="J21">
        <v>664.99999999999989</v>
      </c>
      <c r="K21">
        <v>665</v>
      </c>
      <c r="L21">
        <v>665</v>
      </c>
      <c r="M21">
        <v>665</v>
      </c>
      <c r="N21">
        <v>665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</row>
    <row r="22" spans="1:21">
      <c r="A22">
        <v>2038</v>
      </c>
      <c r="B22">
        <v>0</v>
      </c>
      <c r="C22">
        <v>0</v>
      </c>
      <c r="D22">
        <v>659.99999999999989</v>
      </c>
      <c r="E22">
        <v>659.99999999999989</v>
      </c>
      <c r="F22">
        <v>659.99999999999989</v>
      </c>
      <c r="G22">
        <v>659.99999999999989</v>
      </c>
      <c r="H22">
        <v>659.99999999999989</v>
      </c>
      <c r="I22">
        <v>659.99999999999989</v>
      </c>
      <c r="J22">
        <v>659.99999999999989</v>
      </c>
      <c r="K22">
        <v>660</v>
      </c>
      <c r="L22">
        <v>660</v>
      </c>
      <c r="M22">
        <v>660</v>
      </c>
      <c r="N22">
        <v>660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</row>
    <row r="23" spans="1:21">
      <c r="A23">
        <v>2039</v>
      </c>
      <c r="B23">
        <v>0</v>
      </c>
      <c r="C23">
        <v>0</v>
      </c>
      <c r="D23">
        <v>655</v>
      </c>
      <c r="E23">
        <v>655</v>
      </c>
      <c r="F23">
        <v>655</v>
      </c>
      <c r="G23">
        <v>655</v>
      </c>
      <c r="H23">
        <v>655</v>
      </c>
      <c r="I23">
        <v>655</v>
      </c>
      <c r="J23">
        <v>655</v>
      </c>
      <c r="K23">
        <v>655</v>
      </c>
      <c r="L23">
        <v>655</v>
      </c>
      <c r="M23">
        <v>655</v>
      </c>
      <c r="N23">
        <v>655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</row>
    <row r="24" spans="1:21">
      <c r="A24">
        <v>2040</v>
      </c>
      <c r="B24">
        <v>0</v>
      </c>
      <c r="C24">
        <v>0</v>
      </c>
      <c r="D24">
        <v>650</v>
      </c>
      <c r="E24">
        <v>650</v>
      </c>
      <c r="F24">
        <v>650</v>
      </c>
      <c r="G24">
        <v>650</v>
      </c>
      <c r="H24">
        <v>650</v>
      </c>
      <c r="I24">
        <v>650</v>
      </c>
      <c r="J24">
        <v>650</v>
      </c>
      <c r="K24">
        <v>650</v>
      </c>
      <c r="L24">
        <v>650</v>
      </c>
      <c r="M24">
        <v>650</v>
      </c>
      <c r="N24">
        <v>650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</row>
    <row r="25" spans="1:21">
      <c r="A25">
        <v>2041</v>
      </c>
      <c r="B25">
        <v>0</v>
      </c>
      <c r="C25">
        <v>0</v>
      </c>
      <c r="D25">
        <v>640</v>
      </c>
      <c r="E25">
        <v>640</v>
      </c>
      <c r="F25">
        <v>640</v>
      </c>
      <c r="G25">
        <v>640</v>
      </c>
      <c r="H25">
        <v>640</v>
      </c>
      <c r="I25">
        <v>640</v>
      </c>
      <c r="J25">
        <v>640</v>
      </c>
      <c r="K25">
        <v>640</v>
      </c>
      <c r="L25">
        <v>640</v>
      </c>
      <c r="M25">
        <v>640</v>
      </c>
      <c r="N25">
        <v>640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</row>
    <row r="26" spans="1:21">
      <c r="A26">
        <v>2042</v>
      </c>
      <c r="B26">
        <v>0</v>
      </c>
      <c r="C26">
        <v>0</v>
      </c>
      <c r="D26">
        <v>630</v>
      </c>
      <c r="E26">
        <v>630</v>
      </c>
      <c r="F26">
        <v>630</v>
      </c>
      <c r="G26">
        <v>630</v>
      </c>
      <c r="H26">
        <v>630</v>
      </c>
      <c r="I26">
        <v>630</v>
      </c>
      <c r="J26">
        <v>630</v>
      </c>
      <c r="K26">
        <v>630</v>
      </c>
      <c r="L26">
        <v>630</v>
      </c>
      <c r="M26">
        <v>630</v>
      </c>
      <c r="N26">
        <v>630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</row>
    <row r="27" spans="1:21">
      <c r="A27">
        <v>2043</v>
      </c>
      <c r="B27">
        <v>0</v>
      </c>
      <c r="C27">
        <v>0</v>
      </c>
      <c r="D27">
        <v>620</v>
      </c>
      <c r="E27">
        <v>620</v>
      </c>
      <c r="F27">
        <v>620</v>
      </c>
      <c r="G27">
        <v>620</v>
      </c>
      <c r="H27">
        <v>620</v>
      </c>
      <c r="I27">
        <v>620</v>
      </c>
      <c r="J27">
        <v>620</v>
      </c>
      <c r="K27">
        <v>620</v>
      </c>
      <c r="L27">
        <v>620</v>
      </c>
      <c r="M27">
        <v>620</v>
      </c>
      <c r="N27">
        <v>620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</row>
    <row r="28" spans="1:21">
      <c r="A28">
        <v>2044</v>
      </c>
      <c r="B28">
        <v>0</v>
      </c>
      <c r="C28">
        <v>0</v>
      </c>
      <c r="D28">
        <v>610</v>
      </c>
      <c r="E28">
        <v>610</v>
      </c>
      <c r="F28">
        <v>610</v>
      </c>
      <c r="G28">
        <v>610</v>
      </c>
      <c r="H28">
        <v>610</v>
      </c>
      <c r="I28">
        <v>610</v>
      </c>
      <c r="J28">
        <v>610</v>
      </c>
      <c r="K28">
        <v>610</v>
      </c>
      <c r="L28">
        <v>610</v>
      </c>
      <c r="M28">
        <v>610</v>
      </c>
      <c r="N28">
        <v>610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1:21">
      <c r="A29">
        <v>2045</v>
      </c>
      <c r="B29">
        <v>0</v>
      </c>
      <c r="C29">
        <v>0</v>
      </c>
      <c r="D29">
        <v>600</v>
      </c>
      <c r="E29">
        <v>600</v>
      </c>
      <c r="F29">
        <v>600</v>
      </c>
      <c r="G29">
        <v>600</v>
      </c>
      <c r="H29">
        <v>600</v>
      </c>
      <c r="I29">
        <v>600</v>
      </c>
      <c r="J29">
        <v>600</v>
      </c>
      <c r="K29">
        <v>600</v>
      </c>
      <c r="L29">
        <v>600</v>
      </c>
      <c r="M29">
        <v>600</v>
      </c>
      <c r="N29">
        <v>600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</row>
    <row r="30" spans="1:21">
      <c r="A30">
        <v>2046</v>
      </c>
      <c r="B30">
        <v>0</v>
      </c>
      <c r="C30">
        <v>0</v>
      </c>
      <c r="D30">
        <v>590</v>
      </c>
      <c r="E30">
        <v>590</v>
      </c>
      <c r="F30">
        <v>590</v>
      </c>
      <c r="G30">
        <v>590</v>
      </c>
      <c r="H30">
        <v>590</v>
      </c>
      <c r="I30">
        <v>590</v>
      </c>
      <c r="J30">
        <v>590</v>
      </c>
      <c r="K30">
        <v>590</v>
      </c>
      <c r="L30">
        <v>590</v>
      </c>
      <c r="M30">
        <v>590</v>
      </c>
      <c r="N30">
        <v>590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1:21">
      <c r="A31">
        <v>2047</v>
      </c>
      <c r="B31">
        <v>0</v>
      </c>
      <c r="C31">
        <v>0</v>
      </c>
      <c r="D31">
        <v>580</v>
      </c>
      <c r="E31">
        <v>580</v>
      </c>
      <c r="F31">
        <v>580</v>
      </c>
      <c r="G31">
        <v>580</v>
      </c>
      <c r="H31">
        <v>580</v>
      </c>
      <c r="I31">
        <v>580</v>
      </c>
      <c r="J31">
        <v>580</v>
      </c>
      <c r="K31">
        <v>580</v>
      </c>
      <c r="L31">
        <v>580</v>
      </c>
      <c r="M31">
        <v>580</v>
      </c>
      <c r="N31">
        <v>580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1:21">
      <c r="A32">
        <v>2048</v>
      </c>
      <c r="B32">
        <v>0</v>
      </c>
      <c r="C32">
        <v>0</v>
      </c>
      <c r="D32">
        <v>570</v>
      </c>
      <c r="E32">
        <v>570</v>
      </c>
      <c r="F32">
        <v>570</v>
      </c>
      <c r="G32">
        <v>570</v>
      </c>
      <c r="H32">
        <v>570</v>
      </c>
      <c r="I32">
        <v>570</v>
      </c>
      <c r="J32">
        <v>570</v>
      </c>
      <c r="K32">
        <v>570</v>
      </c>
      <c r="L32">
        <v>570</v>
      </c>
      <c r="M32">
        <v>570</v>
      </c>
      <c r="N32">
        <v>570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A33">
        <v>2049</v>
      </c>
      <c r="B33">
        <v>0</v>
      </c>
      <c r="C33">
        <v>0</v>
      </c>
      <c r="D33">
        <v>560</v>
      </c>
      <c r="E33">
        <v>560</v>
      </c>
      <c r="F33">
        <v>560</v>
      </c>
      <c r="G33">
        <v>560</v>
      </c>
      <c r="H33">
        <v>560</v>
      </c>
      <c r="I33">
        <v>560</v>
      </c>
      <c r="J33">
        <v>560</v>
      </c>
      <c r="K33">
        <v>560</v>
      </c>
      <c r="L33">
        <v>560</v>
      </c>
      <c r="M33">
        <v>560</v>
      </c>
      <c r="N33">
        <v>560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</row>
    <row r="34" spans="1:21">
      <c r="A34">
        <v>2050</v>
      </c>
      <c r="B34">
        <v>0</v>
      </c>
      <c r="C34">
        <v>0</v>
      </c>
      <c r="D34">
        <v>550</v>
      </c>
      <c r="E34">
        <v>550</v>
      </c>
      <c r="F34">
        <v>550</v>
      </c>
      <c r="G34">
        <v>550</v>
      </c>
      <c r="H34">
        <v>550</v>
      </c>
      <c r="I34">
        <v>550</v>
      </c>
      <c r="J34">
        <v>550</v>
      </c>
      <c r="K34">
        <v>550</v>
      </c>
      <c r="L34">
        <v>550</v>
      </c>
      <c r="M34">
        <v>550</v>
      </c>
      <c r="N34">
        <v>550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</row>
    <row r="35" spans="1:21">
      <c r="A35">
        <v>2051</v>
      </c>
      <c r="B35">
        <v>0</v>
      </c>
      <c r="C35">
        <v>0</v>
      </c>
      <c r="D35">
        <v>540</v>
      </c>
      <c r="E35">
        <v>540</v>
      </c>
      <c r="F35">
        <v>540</v>
      </c>
      <c r="G35">
        <v>540</v>
      </c>
      <c r="H35">
        <v>540</v>
      </c>
      <c r="I35">
        <v>540</v>
      </c>
      <c r="J35">
        <v>540</v>
      </c>
      <c r="K35">
        <v>540</v>
      </c>
      <c r="L35">
        <v>540</v>
      </c>
      <c r="M35">
        <v>540</v>
      </c>
      <c r="N35">
        <v>540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</row>
    <row r="36" spans="1:21">
      <c r="A36">
        <v>2052</v>
      </c>
      <c r="B36">
        <v>0</v>
      </c>
      <c r="C36">
        <v>0</v>
      </c>
      <c r="D36">
        <v>530</v>
      </c>
      <c r="E36">
        <v>530</v>
      </c>
      <c r="F36">
        <v>530</v>
      </c>
      <c r="G36">
        <v>530</v>
      </c>
      <c r="H36">
        <v>530</v>
      </c>
      <c r="I36">
        <v>530</v>
      </c>
      <c r="J36">
        <v>530</v>
      </c>
      <c r="K36">
        <v>530</v>
      </c>
      <c r="L36">
        <v>530</v>
      </c>
      <c r="M36">
        <v>530</v>
      </c>
      <c r="N36">
        <v>530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>
      <c r="A37">
        <v>2053</v>
      </c>
      <c r="B37">
        <v>0</v>
      </c>
      <c r="C37">
        <v>0</v>
      </c>
      <c r="D37">
        <v>520</v>
      </c>
      <c r="E37">
        <v>520</v>
      </c>
      <c r="F37">
        <v>520</v>
      </c>
      <c r="G37">
        <v>520</v>
      </c>
      <c r="H37">
        <v>520</v>
      </c>
      <c r="I37">
        <v>520</v>
      </c>
      <c r="J37">
        <v>520</v>
      </c>
      <c r="K37">
        <v>520</v>
      </c>
      <c r="L37">
        <v>520</v>
      </c>
      <c r="M37">
        <v>520</v>
      </c>
      <c r="N37">
        <v>520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</row>
    <row r="38" spans="1:21">
      <c r="A38">
        <v>2054</v>
      </c>
      <c r="B38">
        <v>0</v>
      </c>
      <c r="C38">
        <v>0</v>
      </c>
      <c r="D38">
        <v>510</v>
      </c>
      <c r="E38">
        <v>510</v>
      </c>
      <c r="F38">
        <v>510</v>
      </c>
      <c r="G38">
        <v>510</v>
      </c>
      <c r="H38">
        <v>510</v>
      </c>
      <c r="I38">
        <v>510</v>
      </c>
      <c r="J38">
        <v>510</v>
      </c>
      <c r="K38">
        <v>510</v>
      </c>
      <c r="L38">
        <v>510</v>
      </c>
      <c r="M38">
        <v>510</v>
      </c>
      <c r="N38">
        <v>510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</row>
    <row r="39" spans="1:21">
      <c r="A39">
        <v>2055</v>
      </c>
      <c r="B39">
        <v>0</v>
      </c>
      <c r="C39">
        <v>0</v>
      </c>
      <c r="D39">
        <v>500</v>
      </c>
      <c r="E39">
        <v>500</v>
      </c>
      <c r="F39">
        <v>500</v>
      </c>
      <c r="G39">
        <v>500</v>
      </c>
      <c r="H39">
        <v>500</v>
      </c>
      <c r="I39">
        <v>500</v>
      </c>
      <c r="J39">
        <v>500</v>
      </c>
      <c r="K39">
        <v>500</v>
      </c>
      <c r="L39">
        <v>500</v>
      </c>
      <c r="M39">
        <v>500</v>
      </c>
      <c r="N39">
        <v>500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</row>
    <row r="40" spans="1:21">
      <c r="A40">
        <v>2056</v>
      </c>
      <c r="B40">
        <v>0</v>
      </c>
      <c r="C40">
        <v>0</v>
      </c>
      <c r="D40">
        <v>490</v>
      </c>
      <c r="E40">
        <v>490</v>
      </c>
      <c r="F40">
        <v>490</v>
      </c>
      <c r="G40">
        <v>490</v>
      </c>
      <c r="H40">
        <v>490</v>
      </c>
      <c r="I40">
        <v>490</v>
      </c>
      <c r="J40">
        <v>490</v>
      </c>
      <c r="K40">
        <v>490</v>
      </c>
      <c r="L40">
        <v>490</v>
      </c>
      <c r="M40">
        <v>490</v>
      </c>
      <c r="N40">
        <v>490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</row>
    <row r="41" spans="1:21">
      <c r="A41">
        <v>2057</v>
      </c>
      <c r="B41">
        <v>0</v>
      </c>
      <c r="C41">
        <v>0</v>
      </c>
      <c r="D41">
        <v>480</v>
      </c>
      <c r="E41">
        <v>480</v>
      </c>
      <c r="F41">
        <v>480</v>
      </c>
      <c r="G41">
        <v>480</v>
      </c>
      <c r="H41">
        <v>480</v>
      </c>
      <c r="I41">
        <v>480</v>
      </c>
      <c r="J41">
        <v>480</v>
      </c>
      <c r="K41">
        <v>480</v>
      </c>
      <c r="L41">
        <v>480</v>
      </c>
      <c r="M41">
        <v>480</v>
      </c>
      <c r="N41">
        <v>480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</row>
    <row r="42" spans="1:21">
      <c r="A42">
        <v>2058</v>
      </c>
      <c r="B42">
        <v>0</v>
      </c>
      <c r="C42">
        <v>0</v>
      </c>
      <c r="D42">
        <v>470</v>
      </c>
      <c r="E42">
        <v>470</v>
      </c>
      <c r="F42">
        <v>470</v>
      </c>
      <c r="G42">
        <v>470</v>
      </c>
      <c r="H42">
        <v>470</v>
      </c>
      <c r="I42">
        <v>470</v>
      </c>
      <c r="J42">
        <v>470</v>
      </c>
      <c r="K42">
        <v>470</v>
      </c>
      <c r="L42">
        <v>470</v>
      </c>
      <c r="M42">
        <v>470</v>
      </c>
      <c r="N42">
        <v>470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</row>
    <row r="43" spans="1:21">
      <c r="A43">
        <v>2059</v>
      </c>
      <c r="B43">
        <v>0</v>
      </c>
      <c r="C43">
        <v>0</v>
      </c>
      <c r="D43">
        <v>460</v>
      </c>
      <c r="E43">
        <v>460</v>
      </c>
      <c r="F43">
        <v>460</v>
      </c>
      <c r="G43">
        <v>460</v>
      </c>
      <c r="H43">
        <v>460</v>
      </c>
      <c r="I43">
        <v>460</v>
      </c>
      <c r="J43">
        <v>460</v>
      </c>
      <c r="K43">
        <v>460</v>
      </c>
      <c r="L43">
        <v>460</v>
      </c>
      <c r="M43">
        <v>460</v>
      </c>
      <c r="N43">
        <v>460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1:21">
      <c r="A44">
        <v>2060</v>
      </c>
      <c r="B44">
        <v>0</v>
      </c>
      <c r="C44">
        <v>0</v>
      </c>
      <c r="D44">
        <v>450</v>
      </c>
      <c r="E44">
        <v>450</v>
      </c>
      <c r="F44">
        <v>450</v>
      </c>
      <c r="G44">
        <v>450</v>
      </c>
      <c r="H44">
        <v>450</v>
      </c>
      <c r="I44">
        <v>450</v>
      </c>
      <c r="J44">
        <v>450</v>
      </c>
      <c r="K44">
        <v>450</v>
      </c>
      <c r="L44">
        <v>450</v>
      </c>
      <c r="M44">
        <v>450</v>
      </c>
      <c r="N44">
        <v>450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6"/>
  <dimension ref="A1:U44"/>
  <sheetViews>
    <sheetView zoomScale="85" zoomScaleNormal="85" workbookViewId="0">
      <selection activeCell="I32" sqref="I32:I33"/>
    </sheetView>
  </sheetViews>
  <sheetFormatPr defaultRowHeight="15.6"/>
  <cols>
    <col min="4" max="4" width="13" style="2" hidden="1" customWidth="1"/>
    <col min="6" max="6" width="8.7265625" style="2" customWidth="1"/>
    <col min="10" max="11" width="8.7265625" style="2" customWidth="1"/>
    <col min="16" max="18" width="13" style="2" hidden="1" customWidth="1"/>
    <col min="20" max="21" width="13" style="2" hidden="1" customWidth="1"/>
  </cols>
  <sheetData>
    <row r="1" spans="1:21">
      <c r="A1">
        <v>0</v>
      </c>
      <c r="B1" t="s">
        <v>31</v>
      </c>
      <c r="C1" t="s">
        <v>32</v>
      </c>
      <c r="D1" t="s">
        <v>33</v>
      </c>
      <c r="E1" t="s">
        <v>34</v>
      </c>
      <c r="F1" t="s">
        <v>36</v>
      </c>
      <c r="G1" t="s">
        <v>37</v>
      </c>
      <c r="H1" t="s">
        <v>38</v>
      </c>
      <c r="I1" t="s">
        <v>41</v>
      </c>
      <c r="J1" t="s">
        <v>42</v>
      </c>
      <c r="K1" t="s">
        <v>40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65</v>
      </c>
      <c r="S1" t="s">
        <v>49</v>
      </c>
      <c r="T1" t="s">
        <v>66</v>
      </c>
      <c r="U1" t="s">
        <v>67</v>
      </c>
    </row>
    <row r="2" spans="1:21">
      <c r="A2">
        <v>2018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f t="shared" ref="T2:T44" si="0">Q2</f>
        <v>1</v>
      </c>
      <c r="U2">
        <f t="shared" ref="U2:U44" si="1">Q2</f>
        <v>1</v>
      </c>
    </row>
    <row r="3" spans="1:21">
      <c r="A3">
        <v>2019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f t="shared" si="0"/>
        <v>1</v>
      </c>
      <c r="U3">
        <f t="shared" si="1"/>
        <v>1</v>
      </c>
    </row>
    <row r="4" spans="1:21">
      <c r="A4">
        <v>2020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f t="shared" si="0"/>
        <v>1</v>
      </c>
      <c r="U4">
        <f t="shared" si="1"/>
        <v>1</v>
      </c>
    </row>
    <row r="5" spans="1:21">
      <c r="A5">
        <v>2021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f t="shared" si="0"/>
        <v>1</v>
      </c>
      <c r="U5">
        <f t="shared" si="1"/>
        <v>1</v>
      </c>
    </row>
    <row r="6" spans="1:21">
      <c r="A6">
        <v>2022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f t="shared" si="0"/>
        <v>1</v>
      </c>
      <c r="U6">
        <f t="shared" si="1"/>
        <v>1</v>
      </c>
    </row>
    <row r="7" spans="1:21">
      <c r="A7">
        <v>2023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f t="shared" si="0"/>
        <v>1</v>
      </c>
      <c r="U7">
        <f t="shared" si="1"/>
        <v>1</v>
      </c>
    </row>
    <row r="8" spans="1:21">
      <c r="A8">
        <v>2024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f t="shared" si="0"/>
        <v>1</v>
      </c>
      <c r="U8">
        <f t="shared" si="1"/>
        <v>1</v>
      </c>
    </row>
    <row r="9" spans="1:21">
      <c r="A9">
        <v>2025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f t="shared" si="0"/>
        <v>1</v>
      </c>
      <c r="U9">
        <f t="shared" si="1"/>
        <v>1</v>
      </c>
    </row>
    <row r="10" spans="1:21">
      <c r="A10">
        <v>2026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f t="shared" si="0"/>
        <v>1</v>
      </c>
      <c r="U10">
        <f t="shared" si="1"/>
        <v>1</v>
      </c>
    </row>
    <row r="11" spans="1:21">
      <c r="A11">
        <v>2027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f t="shared" si="0"/>
        <v>1</v>
      </c>
      <c r="U11">
        <f t="shared" si="1"/>
        <v>1</v>
      </c>
    </row>
    <row r="12" spans="1:21">
      <c r="A12">
        <v>2028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f t="shared" si="0"/>
        <v>1</v>
      </c>
      <c r="U12">
        <f t="shared" si="1"/>
        <v>1</v>
      </c>
    </row>
    <row r="13" spans="1:21">
      <c r="A13">
        <v>2029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f t="shared" si="0"/>
        <v>1</v>
      </c>
      <c r="U13">
        <f t="shared" si="1"/>
        <v>1</v>
      </c>
    </row>
    <row r="14" spans="1:21">
      <c r="A14">
        <v>2030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f t="shared" si="0"/>
        <v>1</v>
      </c>
      <c r="U14">
        <f t="shared" si="1"/>
        <v>1</v>
      </c>
    </row>
    <row r="15" spans="1:21">
      <c r="A15">
        <v>2031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f t="shared" si="0"/>
        <v>1</v>
      </c>
      <c r="U15">
        <f t="shared" si="1"/>
        <v>1</v>
      </c>
    </row>
    <row r="16" spans="1:21">
      <c r="A16">
        <v>2032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f t="shared" si="0"/>
        <v>1</v>
      </c>
      <c r="U16">
        <f t="shared" si="1"/>
        <v>1</v>
      </c>
    </row>
    <row r="17" spans="1:21">
      <c r="A17">
        <v>2033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f t="shared" si="0"/>
        <v>1</v>
      </c>
      <c r="U17">
        <f t="shared" si="1"/>
        <v>1</v>
      </c>
    </row>
    <row r="18" spans="1:21">
      <c r="A18">
        <v>2034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f t="shared" si="0"/>
        <v>1</v>
      </c>
      <c r="U18">
        <f t="shared" si="1"/>
        <v>1</v>
      </c>
    </row>
    <row r="19" spans="1:21">
      <c r="A19">
        <v>2035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f t="shared" si="0"/>
        <v>1</v>
      </c>
      <c r="U19">
        <f t="shared" si="1"/>
        <v>1</v>
      </c>
    </row>
    <row r="20" spans="1:21">
      <c r="A20">
        <v>2036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f t="shared" si="0"/>
        <v>1</v>
      </c>
      <c r="U20">
        <f t="shared" si="1"/>
        <v>1</v>
      </c>
    </row>
    <row r="21" spans="1:21">
      <c r="A21">
        <v>2037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f t="shared" si="0"/>
        <v>1</v>
      </c>
      <c r="U21">
        <f t="shared" si="1"/>
        <v>1</v>
      </c>
    </row>
    <row r="22" spans="1:21">
      <c r="A22">
        <v>2038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f t="shared" si="0"/>
        <v>1</v>
      </c>
      <c r="U22">
        <f t="shared" si="1"/>
        <v>1</v>
      </c>
    </row>
    <row r="23" spans="1:21">
      <c r="A23">
        <v>2039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f t="shared" si="0"/>
        <v>1</v>
      </c>
      <c r="U23">
        <f t="shared" si="1"/>
        <v>1</v>
      </c>
    </row>
    <row r="24" spans="1:21">
      <c r="A24">
        <v>2040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f t="shared" si="0"/>
        <v>1</v>
      </c>
      <c r="U24">
        <f t="shared" si="1"/>
        <v>1</v>
      </c>
    </row>
    <row r="25" spans="1:21">
      <c r="A25">
        <v>2041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f t="shared" si="0"/>
        <v>1</v>
      </c>
      <c r="U25">
        <f t="shared" si="1"/>
        <v>1</v>
      </c>
    </row>
    <row r="26" spans="1:21">
      <c r="A26">
        <v>2042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f t="shared" si="0"/>
        <v>1</v>
      </c>
      <c r="U26">
        <f t="shared" si="1"/>
        <v>1</v>
      </c>
    </row>
    <row r="27" spans="1:21">
      <c r="A27">
        <v>2043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f t="shared" si="0"/>
        <v>1</v>
      </c>
      <c r="U27">
        <f t="shared" si="1"/>
        <v>1</v>
      </c>
    </row>
    <row r="28" spans="1:21">
      <c r="A28">
        <v>2044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f t="shared" si="0"/>
        <v>1</v>
      </c>
      <c r="U28">
        <f t="shared" si="1"/>
        <v>1</v>
      </c>
    </row>
    <row r="29" spans="1:21">
      <c r="A29">
        <v>2045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f t="shared" si="0"/>
        <v>1</v>
      </c>
      <c r="U29">
        <f t="shared" si="1"/>
        <v>1</v>
      </c>
    </row>
    <row r="30" spans="1:21">
      <c r="A30">
        <v>2046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f t="shared" si="0"/>
        <v>1</v>
      </c>
      <c r="U30">
        <f t="shared" si="1"/>
        <v>1</v>
      </c>
    </row>
    <row r="31" spans="1:21">
      <c r="A31">
        <v>2047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f t="shared" si="0"/>
        <v>1</v>
      </c>
      <c r="U31">
        <f t="shared" si="1"/>
        <v>1</v>
      </c>
    </row>
    <row r="32" spans="1:21">
      <c r="A32">
        <v>2048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f t="shared" si="0"/>
        <v>1</v>
      </c>
      <c r="U32">
        <f t="shared" si="1"/>
        <v>1</v>
      </c>
    </row>
    <row r="33" spans="1:21">
      <c r="A33">
        <v>2049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f t="shared" si="0"/>
        <v>1</v>
      </c>
      <c r="U33">
        <f t="shared" si="1"/>
        <v>1</v>
      </c>
    </row>
    <row r="34" spans="1:21">
      <c r="A34">
        <v>2050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f t="shared" si="0"/>
        <v>1</v>
      </c>
      <c r="U34">
        <f t="shared" si="1"/>
        <v>1</v>
      </c>
    </row>
    <row r="35" spans="1:21">
      <c r="A35">
        <v>2051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f t="shared" si="0"/>
        <v>1</v>
      </c>
      <c r="U35">
        <f t="shared" si="1"/>
        <v>1</v>
      </c>
    </row>
    <row r="36" spans="1:21">
      <c r="A36">
        <v>2052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f t="shared" si="0"/>
        <v>1</v>
      </c>
      <c r="U36">
        <f t="shared" si="1"/>
        <v>1</v>
      </c>
    </row>
    <row r="37" spans="1:21">
      <c r="A37">
        <v>2053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f t="shared" si="0"/>
        <v>1</v>
      </c>
      <c r="U37">
        <f t="shared" si="1"/>
        <v>1</v>
      </c>
    </row>
    <row r="38" spans="1:21">
      <c r="A38">
        <v>2054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f t="shared" si="0"/>
        <v>1</v>
      </c>
      <c r="U38">
        <f t="shared" si="1"/>
        <v>1</v>
      </c>
    </row>
    <row r="39" spans="1:21">
      <c r="A39">
        <v>2055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f t="shared" si="0"/>
        <v>1</v>
      </c>
      <c r="U39">
        <f t="shared" si="1"/>
        <v>1</v>
      </c>
    </row>
    <row r="40" spans="1:21">
      <c r="A40">
        <v>2056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f t="shared" si="0"/>
        <v>1</v>
      </c>
      <c r="U40">
        <f t="shared" si="1"/>
        <v>1</v>
      </c>
    </row>
    <row r="41" spans="1:21">
      <c r="A41">
        <v>2057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f t="shared" si="0"/>
        <v>1</v>
      </c>
      <c r="U41">
        <f t="shared" si="1"/>
        <v>1</v>
      </c>
    </row>
    <row r="42" spans="1:21">
      <c r="A42">
        <v>2058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f t="shared" si="0"/>
        <v>1</v>
      </c>
      <c r="U42">
        <f t="shared" si="1"/>
        <v>1</v>
      </c>
    </row>
    <row r="43" spans="1:21">
      <c r="A43">
        <v>2059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f t="shared" si="0"/>
        <v>1</v>
      </c>
      <c r="U43">
        <f t="shared" si="1"/>
        <v>1</v>
      </c>
    </row>
    <row r="44" spans="1:21">
      <c r="A44">
        <v>2060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f t="shared" si="0"/>
        <v>1</v>
      </c>
      <c r="U44">
        <f t="shared" si="1"/>
        <v>1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7"/>
  <dimension ref="A1:U44"/>
  <sheetViews>
    <sheetView tabSelected="1" workbookViewId="0">
      <selection activeCell="I20" sqref="I20"/>
    </sheetView>
  </sheetViews>
  <sheetFormatPr defaultRowHeight="15.6"/>
  <cols>
    <col min="4" max="4" width="11.36328125" style="2" hidden="1" customWidth="1"/>
    <col min="5" max="5" width="10.1796875" style="2" bestFit="1" customWidth="1"/>
    <col min="6" max="7" width="10.1796875" style="2" customWidth="1"/>
    <col min="8" max="8" width="10.1796875" style="2" bestFit="1" customWidth="1"/>
    <col min="9" max="13" width="10.1796875" style="2" customWidth="1"/>
    <col min="14" max="14" width="11.36328125" style="2" bestFit="1" customWidth="1"/>
    <col min="16" max="18" width="13" style="2" hidden="1" customWidth="1"/>
    <col min="20" max="21" width="13" style="2" hidden="1" customWidth="1"/>
  </cols>
  <sheetData>
    <row r="1" spans="1:21">
      <c r="A1">
        <v>0</v>
      </c>
      <c r="B1" t="s">
        <v>31</v>
      </c>
      <c r="C1" t="s">
        <v>32</v>
      </c>
      <c r="D1" t="s">
        <v>33</v>
      </c>
      <c r="E1" t="s">
        <v>34</v>
      </c>
      <c r="F1" t="s">
        <v>36</v>
      </c>
      <c r="G1" t="s">
        <v>37</v>
      </c>
      <c r="H1" t="s">
        <v>38</v>
      </c>
      <c r="I1" t="s">
        <v>41</v>
      </c>
      <c r="J1" t="s">
        <v>42</v>
      </c>
      <c r="K1" t="s">
        <v>40</v>
      </c>
      <c r="L1" t="s">
        <v>43</v>
      </c>
      <c r="M1" t="s">
        <v>44</v>
      </c>
      <c r="N1" t="s">
        <v>45</v>
      </c>
      <c r="O1" t="s">
        <v>46</v>
      </c>
      <c r="P1" t="s">
        <v>47</v>
      </c>
      <c r="Q1" t="s">
        <v>48</v>
      </c>
      <c r="R1" t="s">
        <v>65</v>
      </c>
      <c r="S1" t="s">
        <v>49</v>
      </c>
      <c r="T1" t="s">
        <v>66</v>
      </c>
      <c r="U1" t="s">
        <v>67</v>
      </c>
    </row>
    <row r="2" spans="1:21">
      <c r="A2">
        <v>2018</v>
      </c>
      <c r="B2" s="6">
        <v>0</v>
      </c>
      <c r="C2" s="6">
        <v>0</v>
      </c>
      <c r="D2" s="6">
        <v>0</v>
      </c>
      <c r="E2" s="6">
        <v>0</v>
      </c>
      <c r="F2" s="6">
        <v>0</v>
      </c>
      <c r="G2" s="6">
        <v>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</row>
    <row r="3" spans="1:21">
      <c r="A3">
        <v>2019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</row>
    <row r="4" spans="1:21">
      <c r="A4">
        <v>2020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  <c r="H4" s="6">
        <v>0</v>
      </c>
      <c r="I4" s="6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</row>
    <row r="5" spans="1:21">
      <c r="A5">
        <v>2021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</row>
    <row r="6" spans="1:21">
      <c r="A6">
        <v>2022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</row>
    <row r="7" spans="1:21">
      <c r="A7">
        <v>2023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</row>
    <row r="8" spans="1:21">
      <c r="A8">
        <v>2024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</row>
    <row r="9" spans="1:21">
      <c r="A9">
        <v>2025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0</v>
      </c>
      <c r="H9" s="6">
        <v>0</v>
      </c>
      <c r="I9" s="6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</row>
    <row r="10" spans="1:21">
      <c r="A10">
        <v>2026</v>
      </c>
      <c r="B10" s="6">
        <v>0</v>
      </c>
      <c r="C10" s="6">
        <v>0</v>
      </c>
      <c r="D10" s="6">
        <v>0</v>
      </c>
      <c r="E10" s="6">
        <v>0</v>
      </c>
      <c r="F10" s="6">
        <v>0</v>
      </c>
      <c r="G10" s="6">
        <v>0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</row>
    <row r="11" spans="1:21">
      <c r="A11">
        <v>2027</v>
      </c>
      <c r="B11" s="6">
        <v>0</v>
      </c>
      <c r="C11" s="6">
        <v>0</v>
      </c>
      <c r="D11" s="6">
        <v>0</v>
      </c>
      <c r="E11" s="6">
        <v>0</v>
      </c>
      <c r="F11" s="6">
        <v>0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</row>
    <row r="12" spans="1:21">
      <c r="A12">
        <v>2028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</row>
    <row r="13" spans="1:21">
      <c r="A13">
        <v>2029</v>
      </c>
      <c r="B13" s="6">
        <v>0</v>
      </c>
      <c r="C13" s="6">
        <v>0</v>
      </c>
      <c r="D13" s="6">
        <v>0</v>
      </c>
      <c r="E13" s="6">
        <v>0</v>
      </c>
      <c r="F13" s="6">
        <v>0</v>
      </c>
      <c r="G13" s="6">
        <v>0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</row>
    <row r="14" spans="1:21">
      <c r="A14">
        <v>2030</v>
      </c>
      <c r="B14" s="6">
        <v>0</v>
      </c>
      <c r="C14" s="6">
        <v>0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</row>
    <row r="15" spans="1:21">
      <c r="A15">
        <v>2031</v>
      </c>
      <c r="B15" s="6">
        <v>0</v>
      </c>
      <c r="C15" s="6">
        <v>0</v>
      </c>
      <c r="D15" s="6">
        <v>0</v>
      </c>
      <c r="E15" s="6">
        <v>0</v>
      </c>
      <c r="F15" s="6">
        <v>0</v>
      </c>
      <c r="G15" s="6">
        <v>0</v>
      </c>
      <c r="H15" s="6">
        <v>0</v>
      </c>
      <c r="I15" s="6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</row>
    <row r="16" spans="1:21">
      <c r="A16">
        <v>2032</v>
      </c>
      <c r="B16" s="6">
        <v>0</v>
      </c>
      <c r="C16" s="6">
        <v>0</v>
      </c>
      <c r="D16" s="6">
        <v>0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</row>
    <row r="17" spans="1:21">
      <c r="A17">
        <v>2033</v>
      </c>
      <c r="B17" s="6">
        <v>0</v>
      </c>
      <c r="C17" s="6">
        <v>0</v>
      </c>
      <c r="D17" s="6">
        <v>0</v>
      </c>
      <c r="E17" s="6">
        <v>0</v>
      </c>
      <c r="F17" s="6">
        <v>0</v>
      </c>
      <c r="G17" s="6">
        <v>0</v>
      </c>
      <c r="H17" s="6">
        <v>0</v>
      </c>
      <c r="I17" s="6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</row>
    <row r="18" spans="1:21">
      <c r="A18">
        <v>2034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0</v>
      </c>
      <c r="H18" s="6">
        <v>0</v>
      </c>
      <c r="I18" s="6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</row>
    <row r="19" spans="1:21">
      <c r="A19">
        <v>2035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0</v>
      </c>
      <c r="H19" s="6">
        <v>0</v>
      </c>
      <c r="I19" s="6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</row>
    <row r="20" spans="1:21">
      <c r="A20">
        <v>2036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</row>
    <row r="21" spans="1:21">
      <c r="A21">
        <v>2037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</row>
    <row r="22" spans="1:21">
      <c r="A22">
        <v>2038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</row>
    <row r="23" spans="1:21">
      <c r="A23">
        <v>2039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0</v>
      </c>
      <c r="H23" s="6">
        <v>0</v>
      </c>
      <c r="I23" s="6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</row>
    <row r="24" spans="1:21">
      <c r="A24">
        <v>2040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</row>
    <row r="25" spans="1:21">
      <c r="A25">
        <v>2041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0</v>
      </c>
      <c r="H25" s="6">
        <v>0</v>
      </c>
      <c r="I25" s="6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</row>
    <row r="26" spans="1:21">
      <c r="A26">
        <v>2042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</row>
    <row r="27" spans="1:21">
      <c r="A27">
        <v>2043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</row>
    <row r="28" spans="1:21">
      <c r="A28">
        <v>2044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0</v>
      </c>
      <c r="H28" s="6">
        <v>0</v>
      </c>
      <c r="I28" s="6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</row>
    <row r="29" spans="1:21">
      <c r="A29">
        <v>2045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</row>
    <row r="30" spans="1:21">
      <c r="A30">
        <v>2046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</row>
    <row r="31" spans="1:21">
      <c r="A31">
        <v>2047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6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</row>
    <row r="32" spans="1:21">
      <c r="A32">
        <v>2048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0</v>
      </c>
      <c r="H32" s="6">
        <v>0</v>
      </c>
      <c r="I32" s="6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</row>
    <row r="33" spans="1:21">
      <c r="A33">
        <v>2049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0</v>
      </c>
      <c r="H33" s="6">
        <v>0</v>
      </c>
      <c r="I33" s="6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</row>
    <row r="34" spans="1:21">
      <c r="A34">
        <v>2050</v>
      </c>
      <c r="B34" s="6">
        <v>0</v>
      </c>
      <c r="C34" s="6">
        <v>0</v>
      </c>
      <c r="D34" s="6">
        <v>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</row>
    <row r="35" spans="1:21">
      <c r="A35">
        <v>2051</v>
      </c>
      <c r="B35" s="6">
        <v>0</v>
      </c>
      <c r="C35" s="6">
        <v>0</v>
      </c>
      <c r="D35" s="6">
        <v>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</row>
    <row r="36" spans="1:21">
      <c r="A36">
        <v>2052</v>
      </c>
      <c r="B36" s="6">
        <v>0</v>
      </c>
      <c r="C36" s="6">
        <v>0</v>
      </c>
      <c r="D36" s="6">
        <v>0</v>
      </c>
      <c r="E36" s="6">
        <v>0</v>
      </c>
      <c r="F36" s="6">
        <v>0</v>
      </c>
      <c r="G36" s="6">
        <v>0</v>
      </c>
      <c r="H36" s="6">
        <v>0</v>
      </c>
      <c r="I36" s="6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</row>
    <row r="37" spans="1:21">
      <c r="A37">
        <v>2053</v>
      </c>
      <c r="B37" s="6">
        <v>0</v>
      </c>
      <c r="C37" s="6">
        <v>0</v>
      </c>
      <c r="D37" s="6">
        <v>0</v>
      </c>
      <c r="E37" s="6">
        <v>0</v>
      </c>
      <c r="F37" s="6">
        <v>0</v>
      </c>
      <c r="G37" s="6">
        <v>0</v>
      </c>
      <c r="H37" s="6">
        <v>0</v>
      </c>
      <c r="I37" s="6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</row>
    <row r="38" spans="1:21">
      <c r="A38">
        <v>2054</v>
      </c>
      <c r="B38" s="6">
        <v>0</v>
      </c>
      <c r="C38" s="6">
        <v>0</v>
      </c>
      <c r="D38" s="6">
        <v>0</v>
      </c>
      <c r="E38" s="6">
        <v>0</v>
      </c>
      <c r="F38" s="6">
        <v>0</v>
      </c>
      <c r="G38" s="6">
        <v>0</v>
      </c>
      <c r="H38" s="6">
        <v>0</v>
      </c>
      <c r="I38" s="6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</row>
    <row r="39" spans="1:21">
      <c r="A39">
        <v>2055</v>
      </c>
      <c r="B39" s="6">
        <v>0</v>
      </c>
      <c r="C39" s="6">
        <v>0</v>
      </c>
      <c r="D39" s="6">
        <v>0</v>
      </c>
      <c r="E39" s="6">
        <v>0</v>
      </c>
      <c r="F39" s="6">
        <v>0</v>
      </c>
      <c r="G39" s="6">
        <v>0</v>
      </c>
      <c r="H39" s="6">
        <v>0</v>
      </c>
      <c r="I39" s="6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</row>
    <row r="40" spans="1:21">
      <c r="A40">
        <v>2056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</row>
    <row r="41" spans="1:21">
      <c r="A41">
        <v>2057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</row>
    <row r="42" spans="1:21">
      <c r="A42">
        <v>2058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0</v>
      </c>
      <c r="H42" s="6">
        <v>0</v>
      </c>
      <c r="I42" s="6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</row>
    <row r="43" spans="1:21">
      <c r="A43">
        <v>2059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</row>
    <row r="44" spans="1:21">
      <c r="A44">
        <v>2060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8"/>
  <dimension ref="A1:AF24"/>
  <sheetViews>
    <sheetView topLeftCell="I1" workbookViewId="0">
      <selection activeCell="K14" sqref="K14"/>
    </sheetView>
  </sheetViews>
  <sheetFormatPr defaultRowHeight="15.6"/>
  <sheetData>
    <row r="1" spans="1:3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>
      <c r="A2" t="s">
        <v>31</v>
      </c>
      <c r="B2" s="3">
        <v>1</v>
      </c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1</v>
      </c>
      <c r="Q2" s="3">
        <v>1</v>
      </c>
      <c r="R2" s="3">
        <v>1</v>
      </c>
      <c r="S2" s="3">
        <v>1</v>
      </c>
      <c r="T2" s="3">
        <v>1</v>
      </c>
      <c r="U2" s="3">
        <v>1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3">
        <v>1</v>
      </c>
    </row>
    <row r="3" spans="1:32">
      <c r="A3" t="s">
        <v>32</v>
      </c>
      <c r="B3" s="3">
        <v>1</v>
      </c>
      <c r="C3" s="3">
        <v>1</v>
      </c>
      <c r="D3" s="3">
        <v>1</v>
      </c>
      <c r="E3" s="3">
        <v>1</v>
      </c>
      <c r="F3" s="3">
        <v>1</v>
      </c>
      <c r="G3" s="3">
        <v>1</v>
      </c>
      <c r="H3" s="3">
        <v>1</v>
      </c>
      <c r="I3" s="3">
        <v>1</v>
      </c>
      <c r="J3" s="3">
        <v>1</v>
      </c>
      <c r="K3" s="3">
        <v>1</v>
      </c>
      <c r="L3" s="3">
        <v>1</v>
      </c>
      <c r="M3" s="3">
        <v>1</v>
      </c>
      <c r="N3" s="3">
        <v>1</v>
      </c>
      <c r="O3" s="3">
        <v>1</v>
      </c>
      <c r="P3" s="3">
        <v>1</v>
      </c>
      <c r="Q3" s="3">
        <v>1</v>
      </c>
      <c r="R3" s="3">
        <v>1</v>
      </c>
      <c r="S3" s="3">
        <v>1</v>
      </c>
      <c r="T3" s="3">
        <v>1</v>
      </c>
      <c r="U3" s="3">
        <v>1</v>
      </c>
      <c r="V3" s="3">
        <v>1</v>
      </c>
      <c r="W3" s="3">
        <v>1</v>
      </c>
      <c r="X3" s="3">
        <v>1</v>
      </c>
      <c r="Y3" s="3">
        <v>1</v>
      </c>
      <c r="Z3" s="3">
        <v>1</v>
      </c>
      <c r="AA3" s="3">
        <v>1</v>
      </c>
      <c r="AB3" s="3">
        <v>1</v>
      </c>
      <c r="AC3" s="3">
        <v>1</v>
      </c>
      <c r="AD3" s="3">
        <v>1</v>
      </c>
      <c r="AE3" s="3">
        <v>1</v>
      </c>
      <c r="AF3" s="3">
        <v>1</v>
      </c>
    </row>
    <row r="4" spans="1:32" hidden="1">
      <c r="A4" t="s">
        <v>33</v>
      </c>
      <c r="B4" s="3">
        <v>1</v>
      </c>
      <c r="C4" s="3">
        <v>1</v>
      </c>
      <c r="D4" s="3">
        <v>1</v>
      </c>
      <c r="E4" s="3">
        <v>1</v>
      </c>
      <c r="F4" s="3">
        <v>1</v>
      </c>
      <c r="G4" s="3">
        <v>1</v>
      </c>
      <c r="H4" s="3">
        <v>1</v>
      </c>
      <c r="I4" s="3">
        <v>1</v>
      </c>
      <c r="J4" s="3">
        <v>1</v>
      </c>
      <c r="K4" s="3">
        <v>1</v>
      </c>
      <c r="L4" s="3">
        <v>1</v>
      </c>
      <c r="M4" s="3">
        <v>1</v>
      </c>
      <c r="N4" s="3">
        <v>1</v>
      </c>
      <c r="O4" s="3">
        <v>1</v>
      </c>
      <c r="P4" s="3">
        <v>1</v>
      </c>
      <c r="Q4" s="3">
        <v>1</v>
      </c>
      <c r="R4" s="3">
        <v>1</v>
      </c>
      <c r="S4" s="3">
        <v>1</v>
      </c>
      <c r="T4" s="3">
        <v>1</v>
      </c>
      <c r="U4" s="3">
        <v>1</v>
      </c>
      <c r="V4" s="3">
        <v>1</v>
      </c>
      <c r="W4" s="3">
        <v>1</v>
      </c>
      <c r="X4" s="3">
        <v>1</v>
      </c>
      <c r="Y4" s="3">
        <v>1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1</v>
      </c>
      <c r="AF4" s="3">
        <v>1</v>
      </c>
    </row>
    <row r="5" spans="1:32">
      <c r="A5" t="s">
        <v>34</v>
      </c>
      <c r="B5" s="3">
        <v>1</v>
      </c>
      <c r="C5" s="3">
        <v>1</v>
      </c>
      <c r="D5" s="3">
        <v>1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1</v>
      </c>
      <c r="M5" s="3">
        <v>1</v>
      </c>
      <c r="N5" s="3">
        <v>1</v>
      </c>
      <c r="O5" s="3">
        <v>1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3">
        <v>1</v>
      </c>
      <c r="V5" s="3">
        <v>1</v>
      </c>
      <c r="W5" s="3">
        <v>1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1</v>
      </c>
      <c r="AD5" s="3">
        <v>1</v>
      </c>
      <c r="AE5" s="3">
        <v>1</v>
      </c>
      <c r="AF5" s="3">
        <v>1</v>
      </c>
    </row>
    <row r="6" spans="1:32" hidden="1">
      <c r="A6" t="s">
        <v>35</v>
      </c>
      <c r="B6" s="3">
        <v>1</v>
      </c>
      <c r="C6" s="3">
        <v>1</v>
      </c>
      <c r="D6" s="3">
        <v>1</v>
      </c>
      <c r="E6" s="3">
        <v>1</v>
      </c>
      <c r="F6" s="3">
        <v>1</v>
      </c>
      <c r="G6" s="3">
        <v>1</v>
      </c>
      <c r="H6" s="3">
        <v>1</v>
      </c>
      <c r="I6" s="3">
        <v>1</v>
      </c>
      <c r="J6" s="3">
        <v>1</v>
      </c>
      <c r="K6" s="3">
        <v>1</v>
      </c>
      <c r="L6" s="3">
        <v>1</v>
      </c>
      <c r="M6" s="3">
        <v>1</v>
      </c>
      <c r="N6" s="3">
        <v>1</v>
      </c>
      <c r="O6" s="3">
        <v>1</v>
      </c>
      <c r="P6" s="3">
        <v>1</v>
      </c>
      <c r="Q6" s="3">
        <v>1</v>
      </c>
      <c r="R6" s="3">
        <v>1</v>
      </c>
      <c r="S6" s="3">
        <v>1</v>
      </c>
      <c r="T6" s="3">
        <v>1</v>
      </c>
      <c r="U6" s="3">
        <v>1</v>
      </c>
      <c r="V6" s="3">
        <v>1</v>
      </c>
      <c r="W6" s="3">
        <v>1</v>
      </c>
      <c r="X6" s="3">
        <v>1</v>
      </c>
      <c r="Y6" s="3">
        <v>1</v>
      </c>
      <c r="Z6" s="3">
        <v>1</v>
      </c>
      <c r="AA6" s="3">
        <v>1</v>
      </c>
      <c r="AB6" s="3">
        <v>1</v>
      </c>
      <c r="AC6" s="3">
        <v>1</v>
      </c>
      <c r="AD6" s="3">
        <v>1</v>
      </c>
      <c r="AE6" s="3">
        <v>1</v>
      </c>
      <c r="AF6" s="3">
        <v>1</v>
      </c>
    </row>
    <row r="7" spans="1:32">
      <c r="A7" t="s">
        <v>36</v>
      </c>
      <c r="B7" s="3">
        <v>1</v>
      </c>
      <c r="C7" s="3">
        <v>1</v>
      </c>
      <c r="D7" s="3">
        <v>1</v>
      </c>
      <c r="E7" s="3">
        <v>1</v>
      </c>
      <c r="F7" s="3">
        <v>1</v>
      </c>
      <c r="G7" s="3">
        <v>1</v>
      </c>
      <c r="H7" s="3">
        <v>1</v>
      </c>
      <c r="I7" s="3">
        <v>1</v>
      </c>
      <c r="J7" s="3">
        <v>1</v>
      </c>
      <c r="K7" s="3">
        <v>1</v>
      </c>
      <c r="L7" s="3">
        <v>1</v>
      </c>
      <c r="M7" s="3">
        <v>1</v>
      </c>
      <c r="N7" s="3">
        <v>1</v>
      </c>
      <c r="O7" s="3">
        <v>1</v>
      </c>
      <c r="P7" s="3">
        <v>1</v>
      </c>
      <c r="Q7" s="3">
        <v>1</v>
      </c>
      <c r="R7" s="3">
        <v>1</v>
      </c>
      <c r="S7" s="3">
        <v>1</v>
      </c>
      <c r="T7" s="3">
        <v>1</v>
      </c>
      <c r="U7" s="3">
        <v>1</v>
      </c>
      <c r="V7" s="3">
        <v>1</v>
      </c>
      <c r="W7" s="3">
        <v>1</v>
      </c>
      <c r="X7" s="3">
        <v>1</v>
      </c>
      <c r="Y7" s="3">
        <v>1</v>
      </c>
      <c r="Z7" s="3">
        <v>1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3">
        <v>1</v>
      </c>
    </row>
    <row r="8" spans="1:32">
      <c r="A8" t="s">
        <v>37</v>
      </c>
      <c r="B8" s="3">
        <v>1</v>
      </c>
      <c r="C8" s="3">
        <v>1</v>
      </c>
      <c r="D8" s="3">
        <v>1</v>
      </c>
      <c r="E8" s="3">
        <v>1</v>
      </c>
      <c r="F8" s="3">
        <v>1</v>
      </c>
      <c r="G8" s="3">
        <v>1</v>
      </c>
      <c r="H8" s="3">
        <v>1</v>
      </c>
      <c r="I8" s="3">
        <v>1</v>
      </c>
      <c r="J8" s="3">
        <v>1</v>
      </c>
      <c r="K8" s="3">
        <v>1</v>
      </c>
      <c r="L8" s="3">
        <v>1</v>
      </c>
      <c r="M8" s="3">
        <v>1</v>
      </c>
      <c r="N8" s="3">
        <v>1</v>
      </c>
      <c r="O8" s="3">
        <v>1</v>
      </c>
      <c r="P8" s="3">
        <v>1</v>
      </c>
      <c r="Q8" s="3">
        <v>1</v>
      </c>
      <c r="R8" s="3">
        <v>1</v>
      </c>
      <c r="S8" s="3">
        <v>1</v>
      </c>
      <c r="T8" s="3">
        <v>1</v>
      </c>
      <c r="U8" s="3">
        <v>1</v>
      </c>
      <c r="V8" s="3">
        <v>1</v>
      </c>
      <c r="W8" s="3">
        <v>1</v>
      </c>
      <c r="X8" s="3">
        <v>1</v>
      </c>
      <c r="Y8" s="3">
        <v>1</v>
      </c>
      <c r="Z8" s="3">
        <v>1</v>
      </c>
      <c r="AA8" s="3">
        <v>1</v>
      </c>
      <c r="AB8" s="3">
        <v>1</v>
      </c>
      <c r="AC8" s="3">
        <v>1</v>
      </c>
      <c r="AD8" s="3">
        <v>1</v>
      </c>
      <c r="AE8" s="3">
        <v>1</v>
      </c>
      <c r="AF8" s="3">
        <v>1</v>
      </c>
    </row>
    <row r="9" spans="1:32">
      <c r="A9" t="s">
        <v>38</v>
      </c>
      <c r="B9" s="3">
        <v>1</v>
      </c>
      <c r="C9" s="3">
        <v>1</v>
      </c>
      <c r="D9" s="3">
        <v>1</v>
      </c>
      <c r="E9" s="3">
        <v>1</v>
      </c>
      <c r="F9" s="3">
        <v>1</v>
      </c>
      <c r="G9" s="3">
        <v>1</v>
      </c>
      <c r="H9" s="3">
        <v>1</v>
      </c>
      <c r="I9" s="3">
        <v>1</v>
      </c>
      <c r="J9" s="3">
        <v>1</v>
      </c>
      <c r="K9" s="3">
        <v>1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1</v>
      </c>
      <c r="S9" s="3">
        <v>1</v>
      </c>
      <c r="T9" s="3">
        <v>1</v>
      </c>
      <c r="U9" s="3">
        <v>1</v>
      </c>
      <c r="V9" s="3">
        <v>1</v>
      </c>
      <c r="W9" s="3">
        <v>1</v>
      </c>
      <c r="X9" s="3">
        <v>1</v>
      </c>
      <c r="Y9" s="3">
        <v>1</v>
      </c>
      <c r="Z9" s="3">
        <v>1</v>
      </c>
      <c r="AA9" s="3">
        <v>1</v>
      </c>
      <c r="AB9" s="3">
        <v>1</v>
      </c>
      <c r="AC9" s="3">
        <v>1</v>
      </c>
      <c r="AD9" s="3">
        <v>1</v>
      </c>
      <c r="AE9" s="3">
        <v>1</v>
      </c>
      <c r="AF9" s="3">
        <v>1</v>
      </c>
    </row>
    <row r="10" spans="1:32" hidden="1">
      <c r="A10" t="s">
        <v>39</v>
      </c>
      <c r="B10" s="3">
        <v>1</v>
      </c>
      <c r="C10" s="3">
        <v>1</v>
      </c>
      <c r="D10" s="3">
        <v>1</v>
      </c>
      <c r="E10" s="3">
        <v>1</v>
      </c>
      <c r="F10" s="3">
        <v>1</v>
      </c>
      <c r="G10" s="3">
        <v>1</v>
      </c>
      <c r="H10" s="3">
        <v>1</v>
      </c>
      <c r="I10" s="3">
        <v>1</v>
      </c>
      <c r="J10" s="3">
        <v>1</v>
      </c>
      <c r="K10" s="3">
        <v>1</v>
      </c>
      <c r="L10" s="3">
        <v>1</v>
      </c>
      <c r="M10" s="3">
        <v>1</v>
      </c>
      <c r="N10" s="3">
        <v>1</v>
      </c>
      <c r="O10" s="3">
        <v>1</v>
      </c>
      <c r="P10" s="3">
        <v>1</v>
      </c>
      <c r="Q10" s="3">
        <v>1</v>
      </c>
      <c r="R10" s="3">
        <v>1</v>
      </c>
      <c r="S10" s="3">
        <v>1</v>
      </c>
      <c r="T10" s="3">
        <v>1</v>
      </c>
      <c r="U10" s="3">
        <v>1</v>
      </c>
      <c r="V10" s="3">
        <v>1</v>
      </c>
      <c r="W10" s="3">
        <v>1</v>
      </c>
      <c r="X10" s="3">
        <v>1</v>
      </c>
      <c r="Y10" s="3">
        <v>1</v>
      </c>
      <c r="Z10" s="3">
        <v>1</v>
      </c>
      <c r="AA10" s="3">
        <v>1</v>
      </c>
      <c r="AB10" s="3">
        <v>1</v>
      </c>
      <c r="AC10" s="3">
        <v>1</v>
      </c>
      <c r="AD10" s="3">
        <v>1</v>
      </c>
      <c r="AE10" s="3">
        <v>1</v>
      </c>
      <c r="AF10" s="3">
        <v>1</v>
      </c>
    </row>
    <row r="11" spans="1:32" hidden="1">
      <c r="A11" t="s">
        <v>40</v>
      </c>
      <c r="B11" s="3">
        <v>1</v>
      </c>
      <c r="C11" s="3">
        <v>1</v>
      </c>
      <c r="D11" s="3">
        <v>1</v>
      </c>
      <c r="E11" s="3">
        <v>1</v>
      </c>
      <c r="F11" s="3">
        <v>1</v>
      </c>
      <c r="G11" s="3">
        <v>1</v>
      </c>
      <c r="H11" s="3">
        <v>1</v>
      </c>
      <c r="I11" s="3">
        <v>1</v>
      </c>
      <c r="J11" s="3">
        <v>1</v>
      </c>
      <c r="K11" s="3">
        <v>1</v>
      </c>
      <c r="L11" s="3">
        <v>1</v>
      </c>
      <c r="M11" s="3">
        <v>1</v>
      </c>
      <c r="N11" s="3">
        <v>1</v>
      </c>
      <c r="O11" s="3">
        <v>1</v>
      </c>
      <c r="P11" s="3">
        <v>1</v>
      </c>
      <c r="Q11" s="3">
        <v>1</v>
      </c>
      <c r="R11" s="3">
        <v>1</v>
      </c>
      <c r="S11" s="3">
        <v>1</v>
      </c>
      <c r="T11" s="3">
        <v>1</v>
      </c>
      <c r="U11" s="3">
        <v>1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3">
        <v>1</v>
      </c>
    </row>
    <row r="12" spans="1:32">
      <c r="A12" t="s">
        <v>41</v>
      </c>
      <c r="B12" s="3">
        <v>1</v>
      </c>
      <c r="C12" s="3">
        <v>1</v>
      </c>
      <c r="D12" s="3">
        <v>1</v>
      </c>
      <c r="E12" s="3">
        <v>1</v>
      </c>
      <c r="F12" s="3">
        <v>1</v>
      </c>
      <c r="G12" s="3">
        <v>1</v>
      </c>
      <c r="H12" s="3">
        <v>1</v>
      </c>
      <c r="I12" s="3">
        <v>1</v>
      </c>
      <c r="J12" s="3">
        <v>1</v>
      </c>
      <c r="K12" s="3">
        <v>1</v>
      </c>
      <c r="L12" s="3">
        <v>1</v>
      </c>
      <c r="M12" s="3">
        <v>1</v>
      </c>
      <c r="N12" s="3">
        <v>1</v>
      </c>
      <c r="O12" s="3">
        <v>1</v>
      </c>
      <c r="P12" s="3">
        <v>1</v>
      </c>
      <c r="Q12" s="3">
        <v>1</v>
      </c>
      <c r="R12" s="3">
        <v>1</v>
      </c>
      <c r="S12" s="3">
        <v>1</v>
      </c>
      <c r="T12" s="3">
        <v>1</v>
      </c>
      <c r="U12" s="3">
        <v>1</v>
      </c>
      <c r="V12" s="3">
        <v>1</v>
      </c>
      <c r="W12" s="3">
        <v>1</v>
      </c>
      <c r="X12" s="3">
        <v>1</v>
      </c>
      <c r="Y12" s="3">
        <v>1</v>
      </c>
      <c r="Z12" s="3">
        <v>1</v>
      </c>
      <c r="AA12" s="3">
        <v>1</v>
      </c>
      <c r="AB12" s="3">
        <v>1</v>
      </c>
      <c r="AC12" s="3">
        <v>1</v>
      </c>
      <c r="AD12" s="3">
        <v>1</v>
      </c>
      <c r="AE12" s="3">
        <v>1</v>
      </c>
      <c r="AF12" s="3">
        <v>1</v>
      </c>
    </row>
    <row r="13" spans="1:32">
      <c r="A13" t="s">
        <v>42</v>
      </c>
      <c r="B13" s="3">
        <v>1</v>
      </c>
      <c r="C13" s="3">
        <v>1</v>
      </c>
      <c r="D13" s="3">
        <v>1</v>
      </c>
      <c r="E13" s="3">
        <v>1</v>
      </c>
      <c r="F13" s="3">
        <v>1</v>
      </c>
      <c r="G13" s="3">
        <v>1</v>
      </c>
      <c r="H13" s="3">
        <v>1</v>
      </c>
      <c r="I13" s="3">
        <v>1</v>
      </c>
      <c r="J13" s="3">
        <v>1</v>
      </c>
      <c r="K13" s="3">
        <v>1</v>
      </c>
      <c r="L13" s="3">
        <v>1</v>
      </c>
      <c r="M13" s="3">
        <v>1</v>
      </c>
      <c r="N13" s="3">
        <v>1</v>
      </c>
      <c r="O13" s="3">
        <v>1</v>
      </c>
      <c r="P13" s="3">
        <v>1</v>
      </c>
      <c r="Q13" s="3">
        <v>1</v>
      </c>
      <c r="R13" s="3">
        <v>1</v>
      </c>
      <c r="S13" s="3">
        <v>1</v>
      </c>
      <c r="T13" s="3">
        <v>1</v>
      </c>
      <c r="U13" s="3">
        <v>1</v>
      </c>
      <c r="V13" s="3">
        <v>1</v>
      </c>
      <c r="W13" s="3">
        <v>1</v>
      </c>
      <c r="X13" s="3">
        <v>1</v>
      </c>
      <c r="Y13" s="3">
        <v>1</v>
      </c>
      <c r="Z13" s="3">
        <v>1</v>
      </c>
      <c r="AA13" s="3">
        <v>1</v>
      </c>
      <c r="AB13" s="3">
        <v>1</v>
      </c>
      <c r="AC13" s="3">
        <v>1</v>
      </c>
      <c r="AD13" s="3">
        <v>1</v>
      </c>
      <c r="AE13" s="3">
        <v>1</v>
      </c>
      <c r="AF13" s="3">
        <v>1</v>
      </c>
    </row>
    <row r="14" spans="1:32">
      <c r="A14" t="s">
        <v>43</v>
      </c>
      <c r="B14" s="3">
        <v>1</v>
      </c>
      <c r="C14" s="3">
        <v>1</v>
      </c>
      <c r="D14" s="3">
        <v>1</v>
      </c>
      <c r="E14" s="3">
        <v>1</v>
      </c>
      <c r="F14" s="3">
        <v>1</v>
      </c>
      <c r="G14" s="3">
        <v>1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>
        <v>1</v>
      </c>
      <c r="N14" s="3">
        <v>1</v>
      </c>
      <c r="O14" s="3">
        <v>1</v>
      </c>
      <c r="P14" s="3">
        <v>1</v>
      </c>
      <c r="Q14" s="3">
        <v>1</v>
      </c>
      <c r="R14" s="3">
        <v>1</v>
      </c>
      <c r="S14" s="3">
        <v>1</v>
      </c>
      <c r="T14" s="3">
        <v>1</v>
      </c>
      <c r="U14" s="3">
        <v>1</v>
      </c>
      <c r="V14" s="3">
        <v>1</v>
      </c>
      <c r="W14" s="3">
        <v>1</v>
      </c>
      <c r="X14" s="3">
        <v>1</v>
      </c>
      <c r="Y14" s="3">
        <v>1</v>
      </c>
      <c r="Z14" s="3">
        <v>1</v>
      </c>
      <c r="AA14" s="3">
        <v>1</v>
      </c>
      <c r="AB14" s="3">
        <v>1</v>
      </c>
      <c r="AC14" s="3">
        <v>1</v>
      </c>
      <c r="AD14" s="3">
        <v>1</v>
      </c>
      <c r="AE14" s="3">
        <v>1</v>
      </c>
      <c r="AF14" s="3">
        <v>1</v>
      </c>
    </row>
    <row r="15" spans="1:32">
      <c r="A15" t="s">
        <v>44</v>
      </c>
      <c r="B15" s="3">
        <v>1</v>
      </c>
      <c r="C15" s="3">
        <v>1</v>
      </c>
      <c r="D15" s="3">
        <v>1</v>
      </c>
      <c r="E15" s="3">
        <v>1</v>
      </c>
      <c r="F15" s="3">
        <v>1</v>
      </c>
      <c r="G15" s="3">
        <v>1</v>
      </c>
      <c r="H15" s="3">
        <v>1</v>
      </c>
      <c r="I15" s="3">
        <v>1</v>
      </c>
      <c r="J15" s="3">
        <v>1</v>
      </c>
      <c r="K15" s="3">
        <v>1</v>
      </c>
      <c r="L15" s="3">
        <v>1</v>
      </c>
      <c r="M15" s="3">
        <v>1</v>
      </c>
      <c r="N15" s="3">
        <v>1</v>
      </c>
      <c r="O15" s="3">
        <v>1</v>
      </c>
      <c r="P15" s="3">
        <v>1</v>
      </c>
      <c r="Q15" s="3">
        <v>1</v>
      </c>
      <c r="R15" s="3">
        <v>1</v>
      </c>
      <c r="S15" s="3">
        <v>1</v>
      </c>
      <c r="T15" s="3">
        <v>1</v>
      </c>
      <c r="U15" s="3">
        <v>1</v>
      </c>
      <c r="V15" s="3">
        <v>1</v>
      </c>
      <c r="W15" s="3">
        <v>1</v>
      </c>
      <c r="X15" s="3">
        <v>1</v>
      </c>
      <c r="Y15" s="3">
        <v>1</v>
      </c>
      <c r="Z15" s="3">
        <v>1</v>
      </c>
      <c r="AA15" s="3">
        <v>1</v>
      </c>
      <c r="AB15" s="3">
        <v>1</v>
      </c>
      <c r="AC15" s="3">
        <v>1</v>
      </c>
      <c r="AD15" s="3">
        <v>1</v>
      </c>
      <c r="AE15" s="3">
        <v>1</v>
      </c>
      <c r="AF15" s="3">
        <v>1</v>
      </c>
    </row>
    <row r="16" spans="1:32" hidden="1">
      <c r="A16" t="s">
        <v>71</v>
      </c>
      <c r="B16" s="3">
        <v>1</v>
      </c>
      <c r="C16" s="3">
        <v>1</v>
      </c>
      <c r="D16" s="3">
        <v>1</v>
      </c>
      <c r="E16" s="3">
        <v>1</v>
      </c>
      <c r="F16" s="3">
        <v>1</v>
      </c>
      <c r="G16" s="3">
        <v>1</v>
      </c>
      <c r="H16" s="3">
        <v>1</v>
      </c>
      <c r="I16" s="3">
        <v>1</v>
      </c>
      <c r="J16" s="3">
        <v>1</v>
      </c>
      <c r="K16" s="3">
        <v>1</v>
      </c>
      <c r="L16" s="3">
        <v>1</v>
      </c>
      <c r="M16" s="3">
        <v>1</v>
      </c>
      <c r="N16" s="3">
        <v>1</v>
      </c>
      <c r="O16" s="3">
        <v>1</v>
      </c>
      <c r="P16" s="3">
        <v>1</v>
      </c>
      <c r="Q16" s="3">
        <v>1</v>
      </c>
      <c r="R16" s="3">
        <v>1</v>
      </c>
      <c r="S16" s="3">
        <v>1</v>
      </c>
      <c r="T16" s="3">
        <v>1</v>
      </c>
      <c r="U16" s="3">
        <v>1</v>
      </c>
      <c r="V16" s="3">
        <v>1</v>
      </c>
      <c r="W16" s="3">
        <v>1</v>
      </c>
      <c r="X16" s="3">
        <v>1</v>
      </c>
      <c r="Y16" s="3">
        <v>1</v>
      </c>
      <c r="Z16" s="3">
        <v>1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3">
        <v>1</v>
      </c>
    </row>
    <row r="17" spans="1:32">
      <c r="A17" t="s">
        <v>45</v>
      </c>
      <c r="B17" s="3">
        <v>1</v>
      </c>
      <c r="C17" s="3">
        <v>1</v>
      </c>
      <c r="D17" s="3">
        <v>1</v>
      </c>
      <c r="E17" s="3">
        <v>1</v>
      </c>
      <c r="F17" s="3">
        <v>1</v>
      </c>
      <c r="G17" s="3">
        <v>1</v>
      </c>
      <c r="H17" s="3">
        <v>1</v>
      </c>
      <c r="I17" s="3">
        <v>1</v>
      </c>
      <c r="J17" s="3">
        <v>1</v>
      </c>
      <c r="K17" s="3">
        <v>1</v>
      </c>
      <c r="L17" s="3">
        <v>1</v>
      </c>
      <c r="M17" s="3">
        <v>1</v>
      </c>
      <c r="N17" s="3">
        <v>1</v>
      </c>
      <c r="O17" s="3">
        <v>1</v>
      </c>
      <c r="P17" s="3">
        <v>1</v>
      </c>
      <c r="Q17" s="3">
        <v>1</v>
      </c>
      <c r="R17" s="3">
        <v>1</v>
      </c>
      <c r="S17" s="3">
        <v>1</v>
      </c>
      <c r="T17" s="3">
        <v>1</v>
      </c>
      <c r="U17" s="3">
        <v>1</v>
      </c>
      <c r="V17" s="3">
        <v>1</v>
      </c>
      <c r="W17" s="3">
        <v>1</v>
      </c>
      <c r="X17" s="3">
        <v>1</v>
      </c>
      <c r="Y17" s="3">
        <v>1</v>
      </c>
      <c r="Z17" s="3">
        <v>1</v>
      </c>
      <c r="AA17" s="3">
        <v>1</v>
      </c>
      <c r="AB17" s="3">
        <v>1</v>
      </c>
      <c r="AC17" s="3">
        <v>1</v>
      </c>
      <c r="AD17" s="3">
        <v>1</v>
      </c>
      <c r="AE17" s="3">
        <v>1</v>
      </c>
      <c r="AF17" s="3">
        <v>1</v>
      </c>
    </row>
    <row r="18" spans="1:32">
      <c r="A18" t="s">
        <v>46</v>
      </c>
      <c r="B18" s="3">
        <v>1</v>
      </c>
      <c r="C18" s="3">
        <v>1</v>
      </c>
      <c r="D18" s="3">
        <v>1</v>
      </c>
      <c r="E18" s="3">
        <v>1</v>
      </c>
      <c r="F18" s="3">
        <v>1</v>
      </c>
      <c r="G18" s="3">
        <v>1</v>
      </c>
      <c r="H18" s="3">
        <v>1</v>
      </c>
      <c r="I18" s="3">
        <v>1</v>
      </c>
      <c r="J18" s="3">
        <v>1</v>
      </c>
      <c r="K18" s="3">
        <v>1</v>
      </c>
      <c r="L18" s="3">
        <v>1</v>
      </c>
      <c r="M18" s="3">
        <v>1</v>
      </c>
      <c r="N18" s="3">
        <v>1</v>
      </c>
      <c r="O18" s="3">
        <v>1</v>
      </c>
      <c r="P18" s="3">
        <v>1</v>
      </c>
      <c r="Q18" s="3">
        <v>1</v>
      </c>
      <c r="R18" s="3">
        <v>1</v>
      </c>
      <c r="S18" s="3">
        <v>1</v>
      </c>
      <c r="T18" s="3">
        <v>1</v>
      </c>
      <c r="U18" s="3">
        <v>1</v>
      </c>
      <c r="V18" s="3">
        <v>1</v>
      </c>
      <c r="W18" s="3">
        <v>1</v>
      </c>
      <c r="X18" s="3">
        <v>1</v>
      </c>
      <c r="Y18" s="3">
        <v>1</v>
      </c>
      <c r="Z18" s="3">
        <v>1</v>
      </c>
      <c r="AA18" s="3">
        <v>1</v>
      </c>
      <c r="AB18" s="3">
        <v>1</v>
      </c>
      <c r="AC18" s="3">
        <v>1</v>
      </c>
      <c r="AD18" s="3">
        <v>1</v>
      </c>
      <c r="AE18" s="3">
        <v>1</v>
      </c>
      <c r="AF18" s="3">
        <v>1</v>
      </c>
    </row>
    <row r="19" spans="1:32" hidden="1">
      <c r="A19" t="s">
        <v>47</v>
      </c>
      <c r="B19" s="3">
        <v>1</v>
      </c>
      <c r="C19" s="3">
        <v>1</v>
      </c>
      <c r="D19" s="3">
        <v>1</v>
      </c>
      <c r="E19" s="3">
        <v>1</v>
      </c>
      <c r="F19" s="3">
        <v>1</v>
      </c>
      <c r="G19" s="3">
        <v>1</v>
      </c>
      <c r="H19" s="3">
        <v>1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>
        <v>1</v>
      </c>
      <c r="O19" s="3">
        <v>1</v>
      </c>
      <c r="P19" s="3">
        <v>1</v>
      </c>
      <c r="Q19" s="3">
        <v>1</v>
      </c>
      <c r="R19" s="3">
        <v>1</v>
      </c>
      <c r="S19" s="3">
        <v>1</v>
      </c>
      <c r="T19" s="3">
        <v>1</v>
      </c>
      <c r="U19" s="3">
        <v>1</v>
      </c>
      <c r="V19" s="3">
        <v>1</v>
      </c>
      <c r="W19" s="3">
        <v>1</v>
      </c>
      <c r="X19" s="3">
        <v>1</v>
      </c>
      <c r="Y19" s="3">
        <v>1</v>
      </c>
      <c r="Z19" s="3">
        <v>1</v>
      </c>
      <c r="AA19" s="3">
        <v>1</v>
      </c>
      <c r="AB19" s="3">
        <v>1</v>
      </c>
      <c r="AC19" s="3">
        <v>1</v>
      </c>
      <c r="AD19" s="3">
        <v>1</v>
      </c>
      <c r="AE19" s="3">
        <v>1</v>
      </c>
      <c r="AF19" s="3">
        <v>1</v>
      </c>
    </row>
    <row r="20" spans="1:32" hidden="1">
      <c r="A20" t="s">
        <v>48</v>
      </c>
      <c r="B20" s="3">
        <v>1</v>
      </c>
      <c r="C20" s="3">
        <v>1</v>
      </c>
      <c r="D20" s="3">
        <v>1</v>
      </c>
      <c r="E20" s="3">
        <v>1</v>
      </c>
      <c r="F20" s="3">
        <v>1</v>
      </c>
      <c r="G20" s="3">
        <v>1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>
        <v>1</v>
      </c>
      <c r="N20" s="3">
        <v>1</v>
      </c>
      <c r="O20" s="3">
        <v>1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3">
        <v>1</v>
      </c>
      <c r="V20" s="3">
        <v>1</v>
      </c>
      <c r="W20" s="3">
        <v>1</v>
      </c>
      <c r="X20" s="3">
        <v>1</v>
      </c>
      <c r="Y20" s="3">
        <v>1</v>
      </c>
      <c r="Z20" s="3">
        <v>1</v>
      </c>
      <c r="AA20" s="3">
        <v>1</v>
      </c>
      <c r="AB20" s="3">
        <v>1</v>
      </c>
      <c r="AC20" s="3">
        <v>1</v>
      </c>
      <c r="AD20" s="3">
        <v>1</v>
      </c>
      <c r="AE20" s="3">
        <v>1</v>
      </c>
      <c r="AF20" s="3">
        <v>1</v>
      </c>
    </row>
    <row r="21" spans="1:32" hidden="1">
      <c r="A21" t="s">
        <v>65</v>
      </c>
      <c r="B21" s="3">
        <v>1</v>
      </c>
      <c r="C21" s="3">
        <v>1</v>
      </c>
      <c r="D21" s="3">
        <v>1</v>
      </c>
      <c r="E21" s="3">
        <v>1</v>
      </c>
      <c r="F21" s="3">
        <v>1</v>
      </c>
      <c r="G21" s="3">
        <v>1</v>
      </c>
      <c r="H21" s="3">
        <v>1</v>
      </c>
      <c r="I21" s="3">
        <v>1</v>
      </c>
      <c r="J21" s="3">
        <v>1</v>
      </c>
      <c r="K21" s="3">
        <v>1</v>
      </c>
      <c r="L21" s="3">
        <v>1</v>
      </c>
      <c r="M21" s="3">
        <v>1</v>
      </c>
      <c r="N21" s="3">
        <v>1</v>
      </c>
      <c r="O21" s="3">
        <v>1</v>
      </c>
      <c r="P21" s="3">
        <v>1</v>
      </c>
      <c r="Q21" s="3">
        <v>1</v>
      </c>
      <c r="R21" s="3">
        <v>1</v>
      </c>
      <c r="S21" s="3">
        <v>1</v>
      </c>
      <c r="T21" s="3">
        <v>1</v>
      </c>
      <c r="U21" s="3">
        <v>1</v>
      </c>
      <c r="V21" s="3">
        <v>1</v>
      </c>
      <c r="W21" s="3">
        <v>1</v>
      </c>
      <c r="X21" s="3">
        <v>1</v>
      </c>
      <c r="Y21" s="3">
        <v>1</v>
      </c>
      <c r="Z21" s="3">
        <v>1</v>
      </c>
      <c r="AA21" s="3">
        <v>1</v>
      </c>
      <c r="AB21" s="3">
        <v>1</v>
      </c>
      <c r="AC21" s="3">
        <v>1</v>
      </c>
      <c r="AD21" s="3">
        <v>1</v>
      </c>
      <c r="AE21" s="3">
        <v>1</v>
      </c>
      <c r="AF21" s="3">
        <v>1</v>
      </c>
    </row>
    <row r="22" spans="1:32">
      <c r="A22" t="s">
        <v>49</v>
      </c>
      <c r="B22" s="3">
        <v>1</v>
      </c>
      <c r="C22" s="3">
        <v>1</v>
      </c>
      <c r="D22" s="3">
        <v>1</v>
      </c>
      <c r="E22" s="3">
        <v>1</v>
      </c>
      <c r="F22" s="3">
        <v>1</v>
      </c>
      <c r="G22" s="3">
        <v>1</v>
      </c>
      <c r="H22" s="3">
        <v>1</v>
      </c>
      <c r="I22" s="3">
        <v>1</v>
      </c>
      <c r="J22" s="3">
        <v>1</v>
      </c>
      <c r="K22" s="3">
        <v>1</v>
      </c>
      <c r="L22" s="3">
        <v>1</v>
      </c>
      <c r="M22" s="3">
        <v>1</v>
      </c>
      <c r="N22" s="3">
        <v>1</v>
      </c>
      <c r="O22" s="3">
        <v>1</v>
      </c>
      <c r="P22" s="3">
        <v>1</v>
      </c>
      <c r="Q22" s="3">
        <v>1</v>
      </c>
      <c r="R22" s="3">
        <v>1</v>
      </c>
      <c r="S22" s="3">
        <v>1</v>
      </c>
      <c r="T22" s="3">
        <v>1</v>
      </c>
      <c r="U22" s="3">
        <v>1</v>
      </c>
      <c r="V22" s="3">
        <v>1</v>
      </c>
      <c r="W22" s="3">
        <v>1</v>
      </c>
      <c r="X22" s="3">
        <v>1</v>
      </c>
      <c r="Y22" s="3">
        <v>1</v>
      </c>
      <c r="Z22" s="3">
        <v>1</v>
      </c>
      <c r="AA22" s="3">
        <v>1</v>
      </c>
      <c r="AB22" s="3">
        <v>1</v>
      </c>
      <c r="AC22" s="3">
        <v>1</v>
      </c>
      <c r="AD22" s="3">
        <v>1</v>
      </c>
      <c r="AE22" s="3">
        <v>1</v>
      </c>
      <c r="AF22" s="3">
        <v>1</v>
      </c>
    </row>
    <row r="23" spans="1:32" hidden="1">
      <c r="A23" t="s">
        <v>66</v>
      </c>
      <c r="B23" s="3">
        <v>1</v>
      </c>
      <c r="C23" s="3">
        <v>1</v>
      </c>
      <c r="D23" s="3">
        <v>1</v>
      </c>
      <c r="E23" s="3">
        <v>1</v>
      </c>
      <c r="F23" s="3">
        <v>1</v>
      </c>
      <c r="G23" s="3">
        <v>1</v>
      </c>
      <c r="H23" s="3">
        <v>1</v>
      </c>
      <c r="I23" s="3">
        <v>1</v>
      </c>
      <c r="J23" s="3">
        <v>1</v>
      </c>
      <c r="K23" s="3">
        <v>1</v>
      </c>
      <c r="L23" s="3">
        <v>1</v>
      </c>
      <c r="M23" s="3">
        <v>1</v>
      </c>
      <c r="N23" s="3">
        <v>1</v>
      </c>
      <c r="O23" s="3">
        <v>1</v>
      </c>
      <c r="P23" s="3">
        <v>1</v>
      </c>
      <c r="Q23" s="3">
        <v>1</v>
      </c>
      <c r="R23" s="3">
        <v>1</v>
      </c>
      <c r="S23" s="3">
        <v>1</v>
      </c>
      <c r="T23" s="3">
        <v>1</v>
      </c>
      <c r="U23" s="3">
        <v>1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  <c r="AD23" s="3">
        <v>1</v>
      </c>
      <c r="AE23" s="3">
        <v>1</v>
      </c>
      <c r="AF23" s="3">
        <v>1</v>
      </c>
    </row>
    <row r="24" spans="1:32" hidden="1">
      <c r="A24" t="s">
        <v>67</v>
      </c>
      <c r="B24" s="3">
        <v>1</v>
      </c>
      <c r="C24" s="3">
        <v>1</v>
      </c>
      <c r="D24" s="3">
        <v>1</v>
      </c>
      <c r="E24" s="3">
        <v>1</v>
      </c>
      <c r="F24" s="3">
        <v>1</v>
      </c>
      <c r="G24" s="3">
        <v>1</v>
      </c>
      <c r="H24" s="3">
        <v>1</v>
      </c>
      <c r="I24" s="3">
        <v>1</v>
      </c>
      <c r="J24" s="3">
        <v>1</v>
      </c>
      <c r="K24" s="3">
        <v>1</v>
      </c>
      <c r="L24" s="3">
        <v>1</v>
      </c>
      <c r="M24" s="3">
        <v>1</v>
      </c>
      <c r="N24" s="3">
        <v>1</v>
      </c>
      <c r="O24" s="3">
        <v>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3">
        <v>1</v>
      </c>
      <c r="V24" s="3">
        <v>1</v>
      </c>
      <c r="W24" s="3">
        <v>1</v>
      </c>
      <c r="X24" s="3">
        <v>1</v>
      </c>
      <c r="Y24" s="3">
        <v>1</v>
      </c>
      <c r="Z24" s="3">
        <v>1</v>
      </c>
      <c r="AA24" s="3">
        <v>1</v>
      </c>
      <c r="AB24" s="3">
        <v>1</v>
      </c>
      <c r="AC24" s="3">
        <v>1</v>
      </c>
      <c r="AD24" s="3">
        <v>1</v>
      </c>
      <c r="AE24" s="3">
        <v>1</v>
      </c>
      <c r="AF24" s="3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2</vt:i4>
      </vt:variant>
    </vt:vector>
  </HeadingPairs>
  <TitlesOfParts>
    <vt:vector size="18" baseType="lpstr">
      <vt:lpstr>regionfcprice</vt:lpstr>
      <vt:lpstr>efuelcarbon</vt:lpstr>
      <vt:lpstr>esubsidy</vt:lpstr>
      <vt:lpstr>fcprice</vt:lpstr>
      <vt:lpstr>remainrate</vt:lpstr>
      <vt:lpstr>carbontax</vt:lpstr>
      <vt:lpstr>unittonkmcost</vt:lpstr>
      <vt:lpstr>stationdistance</vt:lpstr>
      <vt:lpstr>ch_efficiency</vt:lpstr>
      <vt:lpstr>ptretire</vt:lpstr>
      <vt:lpstr>retire</vt:lpstr>
      <vt:lpstr>yearretire</vt:lpstr>
      <vt:lpstr>batteryprice</vt:lpstr>
      <vt:lpstr>yearchargprob</vt:lpstr>
      <vt:lpstr>subsidy</vt:lpstr>
      <vt:lpstr>regionsubsidy</vt:lpstr>
      <vt:lpstr>柴油能量密度GJ每L</vt:lpstr>
      <vt:lpstr>汇率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宝彤 张</dc:creator>
  <cp:lastModifiedBy>宝彤 张</cp:lastModifiedBy>
  <dcterms:created xsi:type="dcterms:W3CDTF">2024-06-23T04:32:55Z</dcterms:created>
  <dcterms:modified xsi:type="dcterms:W3CDTF">2026-07-02T13:25:56Z</dcterms:modified>
</cp:coreProperties>
</file>